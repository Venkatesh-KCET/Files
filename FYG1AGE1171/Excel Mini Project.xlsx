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02"/>
  <workbookPr/>
  <mc:AlternateContent xmlns:mc="http://schemas.openxmlformats.org/markup-compatibility/2006">
    <mc:Choice Requires="x15">
      <x15ac:absPath xmlns:x15ac="http://schemas.microsoft.com/office/spreadsheetml/2010/11/ac" url="C:\Users\Venkatesh\Downloads\APP\"/>
    </mc:Choice>
  </mc:AlternateContent>
  <xr:revisionPtr revIDLastSave="0" documentId="11_C669E827A7F58F4351BFB6975D0FADB6D4149C1B" xr6:coauthVersionLast="45" xr6:coauthVersionMax="45" xr10:uidLastSave="{00000000-0000-0000-0000-000000000000}"/>
  <bookViews>
    <workbookView xWindow="0" yWindow="0" windowWidth="11130" windowHeight="4635" firstSheet="4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2" hidden="1">Sheet3!$M$1:$M$28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5" l="1"/>
  <c r="C7" i="5"/>
  <c r="C5" i="5"/>
  <c r="C3" i="5"/>
  <c r="M56" i="3"/>
  <c r="L56" i="3"/>
  <c r="J56" i="3"/>
  <c r="K56" i="3" s="1"/>
  <c r="I56" i="3"/>
  <c r="N56" i="3" s="1"/>
  <c r="M55" i="3"/>
  <c r="L55" i="3"/>
  <c r="J55" i="3"/>
  <c r="K55" i="3" s="1"/>
  <c r="I55" i="3"/>
  <c r="N55" i="3" s="1"/>
  <c r="M54" i="3"/>
  <c r="L54" i="3"/>
  <c r="J54" i="3"/>
  <c r="K54" i="3" s="1"/>
  <c r="I54" i="3"/>
  <c r="N54" i="3" s="1"/>
  <c r="M53" i="3"/>
  <c r="L53" i="3"/>
  <c r="J53" i="3"/>
  <c r="K53" i="3" s="1"/>
  <c r="I53" i="3"/>
  <c r="N53" i="3" s="1"/>
  <c r="M52" i="3"/>
  <c r="L52" i="3"/>
  <c r="J52" i="3"/>
  <c r="K52" i="3" s="1"/>
  <c r="I52" i="3"/>
  <c r="N52" i="3" s="1"/>
  <c r="M51" i="3"/>
  <c r="L51" i="3"/>
  <c r="J51" i="3"/>
  <c r="K51" i="3" s="1"/>
  <c r="I51" i="3"/>
  <c r="N51" i="3" s="1"/>
  <c r="M50" i="3"/>
  <c r="L50" i="3"/>
  <c r="J50" i="3"/>
  <c r="K50" i="3" s="1"/>
  <c r="I50" i="3"/>
  <c r="N50" i="3" s="1"/>
  <c r="M49" i="3"/>
  <c r="L49" i="3"/>
  <c r="J49" i="3"/>
  <c r="K49" i="3" s="1"/>
  <c r="I49" i="3"/>
  <c r="N49" i="3" s="1"/>
  <c r="M48" i="3"/>
  <c r="L48" i="3"/>
  <c r="J48" i="3"/>
  <c r="K48" i="3" s="1"/>
  <c r="I48" i="3"/>
  <c r="N48" i="3" s="1"/>
  <c r="M47" i="3"/>
  <c r="L47" i="3"/>
  <c r="J47" i="3"/>
  <c r="K47" i="3" s="1"/>
  <c r="I47" i="3"/>
  <c r="N47" i="3" s="1"/>
  <c r="M46" i="3"/>
  <c r="L46" i="3"/>
  <c r="J46" i="3"/>
  <c r="K46" i="3" s="1"/>
  <c r="I46" i="3"/>
  <c r="N46" i="3" s="1"/>
  <c r="M45" i="3"/>
  <c r="L45" i="3"/>
  <c r="J45" i="3"/>
  <c r="K45" i="3" s="1"/>
  <c r="I45" i="3"/>
  <c r="N45" i="3" s="1"/>
  <c r="M44" i="3"/>
  <c r="L44" i="3"/>
  <c r="J44" i="3"/>
  <c r="K44" i="3" s="1"/>
  <c r="I44" i="3"/>
  <c r="N44" i="3" s="1"/>
  <c r="M43" i="3"/>
  <c r="L43" i="3"/>
  <c r="J43" i="3"/>
  <c r="K43" i="3" s="1"/>
  <c r="I43" i="3"/>
  <c r="N43" i="3" s="1"/>
  <c r="M42" i="3"/>
  <c r="L42" i="3"/>
  <c r="J42" i="3"/>
  <c r="K42" i="3" s="1"/>
  <c r="I42" i="3"/>
  <c r="N42" i="3" s="1"/>
  <c r="M41" i="3"/>
  <c r="L41" i="3"/>
  <c r="J41" i="3"/>
  <c r="K41" i="3" s="1"/>
  <c r="I41" i="3"/>
  <c r="N41" i="3" s="1"/>
  <c r="M40" i="3"/>
  <c r="L40" i="3"/>
  <c r="J40" i="3"/>
  <c r="K40" i="3" s="1"/>
  <c r="I40" i="3"/>
  <c r="N40" i="3" s="1"/>
  <c r="M39" i="3"/>
  <c r="L39" i="3"/>
  <c r="J39" i="3"/>
  <c r="K39" i="3" s="1"/>
  <c r="I39" i="3"/>
  <c r="N39" i="3" s="1"/>
  <c r="M38" i="3"/>
  <c r="L38" i="3"/>
  <c r="J38" i="3"/>
  <c r="K38" i="3" s="1"/>
  <c r="I38" i="3"/>
  <c r="N38" i="3" s="1"/>
  <c r="M37" i="3"/>
  <c r="L37" i="3"/>
  <c r="J37" i="3"/>
  <c r="K37" i="3" s="1"/>
  <c r="I37" i="3"/>
  <c r="N37" i="3" s="1"/>
  <c r="M36" i="3"/>
  <c r="L36" i="3"/>
  <c r="J36" i="3"/>
  <c r="K36" i="3" s="1"/>
  <c r="I36" i="3"/>
  <c r="N36" i="3" s="1"/>
  <c r="M35" i="3"/>
  <c r="L35" i="3"/>
  <c r="J35" i="3"/>
  <c r="K35" i="3" s="1"/>
  <c r="I35" i="3"/>
  <c r="N35" i="3" s="1"/>
  <c r="M34" i="3"/>
  <c r="L34" i="3"/>
  <c r="J34" i="3"/>
  <c r="K34" i="3" s="1"/>
  <c r="I34" i="3"/>
  <c r="N34" i="3" s="1"/>
  <c r="M32" i="3"/>
  <c r="L32" i="3"/>
  <c r="J32" i="3"/>
  <c r="K32" i="3" s="1"/>
  <c r="I32" i="3"/>
  <c r="N32" i="3" s="1"/>
  <c r="M33" i="3"/>
  <c r="L33" i="3"/>
  <c r="J33" i="3"/>
  <c r="K33" i="3" s="1"/>
  <c r="I33" i="3"/>
  <c r="N33" i="3" s="1"/>
  <c r="M28" i="3"/>
  <c r="L28" i="3"/>
  <c r="J28" i="3"/>
  <c r="K28" i="3" s="1"/>
  <c r="I28" i="3"/>
  <c r="N28" i="3" s="1"/>
  <c r="M27" i="3"/>
  <c r="L27" i="3"/>
  <c r="J27" i="3"/>
  <c r="K27" i="3" s="1"/>
  <c r="I27" i="3"/>
  <c r="N27" i="3" s="1"/>
  <c r="M26" i="3"/>
  <c r="L26" i="3"/>
  <c r="J26" i="3"/>
  <c r="K26" i="3" s="1"/>
  <c r="I26" i="3"/>
  <c r="N26" i="3" s="1"/>
  <c r="M25" i="3"/>
  <c r="L25" i="3"/>
  <c r="J25" i="3"/>
  <c r="K25" i="3" s="1"/>
  <c r="I25" i="3"/>
  <c r="N25" i="3" s="1"/>
  <c r="M24" i="3"/>
  <c r="L24" i="3"/>
  <c r="J24" i="3"/>
  <c r="K24" i="3" s="1"/>
  <c r="I24" i="3"/>
  <c r="N24" i="3" s="1"/>
  <c r="M23" i="3"/>
  <c r="L23" i="3"/>
  <c r="J23" i="3"/>
  <c r="K23" i="3" s="1"/>
  <c r="I23" i="3"/>
  <c r="N23" i="3" s="1"/>
  <c r="M22" i="3"/>
  <c r="L22" i="3"/>
  <c r="J22" i="3"/>
  <c r="K22" i="3" s="1"/>
  <c r="I22" i="3"/>
  <c r="N22" i="3" s="1"/>
  <c r="M21" i="3"/>
  <c r="L21" i="3"/>
  <c r="J21" i="3"/>
  <c r="K21" i="3" s="1"/>
  <c r="I21" i="3"/>
  <c r="N21" i="3" s="1"/>
  <c r="M20" i="3"/>
  <c r="L20" i="3"/>
  <c r="J20" i="3"/>
  <c r="K20" i="3" s="1"/>
  <c r="I20" i="3"/>
  <c r="N20" i="3" s="1"/>
  <c r="M19" i="3"/>
  <c r="L19" i="3"/>
  <c r="J19" i="3"/>
  <c r="K19" i="3" s="1"/>
  <c r="I19" i="3"/>
  <c r="N19" i="3" s="1"/>
  <c r="M18" i="3"/>
  <c r="L18" i="3"/>
  <c r="J18" i="3"/>
  <c r="K18" i="3" s="1"/>
  <c r="I18" i="3"/>
  <c r="N18" i="3" s="1"/>
  <c r="M17" i="3"/>
  <c r="L17" i="3"/>
  <c r="J17" i="3"/>
  <c r="K17" i="3" s="1"/>
  <c r="I17" i="3"/>
  <c r="N17" i="3" s="1"/>
  <c r="M16" i="3"/>
  <c r="L16" i="3"/>
  <c r="J16" i="3"/>
  <c r="K16" i="3" s="1"/>
  <c r="I16" i="3"/>
  <c r="N16" i="3" s="1"/>
  <c r="M15" i="3"/>
  <c r="L15" i="3"/>
  <c r="J15" i="3"/>
  <c r="K15" i="3" s="1"/>
  <c r="I15" i="3"/>
  <c r="N15" i="3" s="1"/>
  <c r="M14" i="3"/>
  <c r="L14" i="3"/>
  <c r="J14" i="3"/>
  <c r="K14" i="3" s="1"/>
  <c r="I14" i="3"/>
  <c r="N14" i="3" s="1"/>
  <c r="M13" i="3"/>
  <c r="L13" i="3"/>
  <c r="J13" i="3"/>
  <c r="K13" i="3" s="1"/>
  <c r="I13" i="3"/>
  <c r="N13" i="3" s="1"/>
  <c r="M12" i="3"/>
  <c r="L12" i="3"/>
  <c r="J12" i="3"/>
  <c r="K12" i="3" s="1"/>
  <c r="I12" i="3"/>
  <c r="N12" i="3" s="1"/>
  <c r="M11" i="3"/>
  <c r="L11" i="3"/>
  <c r="J11" i="3"/>
  <c r="K11" i="3" s="1"/>
  <c r="I11" i="3"/>
  <c r="N11" i="3" s="1"/>
  <c r="M10" i="3"/>
  <c r="L10" i="3"/>
  <c r="J10" i="3"/>
  <c r="K10" i="3" s="1"/>
  <c r="I10" i="3"/>
  <c r="N10" i="3" s="1"/>
  <c r="M9" i="3"/>
  <c r="L9" i="3"/>
  <c r="J9" i="3"/>
  <c r="K9" i="3" s="1"/>
  <c r="I9" i="3"/>
  <c r="N9" i="3" s="1"/>
  <c r="M8" i="3"/>
  <c r="L8" i="3"/>
  <c r="J8" i="3"/>
  <c r="K8" i="3" s="1"/>
  <c r="I8" i="3"/>
  <c r="N8" i="3" s="1"/>
  <c r="M7" i="3"/>
  <c r="L7" i="3"/>
  <c r="J7" i="3"/>
  <c r="K7" i="3" s="1"/>
  <c r="I7" i="3"/>
  <c r="N7" i="3" s="1"/>
  <c r="M6" i="3"/>
  <c r="L6" i="3"/>
  <c r="J6" i="3"/>
  <c r="K6" i="3" s="1"/>
  <c r="I6" i="3"/>
  <c r="N6" i="3" s="1"/>
  <c r="M5" i="3"/>
  <c r="L5" i="3"/>
  <c r="J5" i="3"/>
  <c r="K5" i="3" s="1"/>
  <c r="I5" i="3"/>
  <c r="N5" i="3" s="1"/>
  <c r="M4" i="3"/>
  <c r="L4" i="3"/>
  <c r="J4" i="3"/>
  <c r="K4" i="3" s="1"/>
  <c r="I4" i="3"/>
  <c r="N4" i="3" s="1"/>
  <c r="M2" i="2"/>
  <c r="L2" i="2"/>
  <c r="J2" i="2"/>
  <c r="K2" i="2" s="1"/>
  <c r="I2" i="2"/>
  <c r="N2" i="2" s="1"/>
  <c r="M12" i="2"/>
  <c r="L12" i="2"/>
  <c r="J12" i="2"/>
  <c r="K12" i="2" s="1"/>
  <c r="I12" i="2"/>
  <c r="N12" i="2" s="1"/>
  <c r="M21" i="2"/>
  <c r="L21" i="2"/>
  <c r="J21" i="2"/>
  <c r="K21" i="2" s="1"/>
  <c r="I21" i="2"/>
  <c r="N21" i="2" s="1"/>
  <c r="M7" i="2"/>
  <c r="L7" i="2"/>
  <c r="J7" i="2"/>
  <c r="K7" i="2" s="1"/>
  <c r="I7" i="2"/>
  <c r="N7" i="2" s="1"/>
  <c r="M11" i="2"/>
  <c r="L11" i="2"/>
  <c r="J11" i="2"/>
  <c r="K11" i="2" s="1"/>
  <c r="I11" i="2"/>
  <c r="N11" i="2" s="1"/>
  <c r="M15" i="2"/>
  <c r="L15" i="2"/>
  <c r="J15" i="2"/>
  <c r="K15" i="2" s="1"/>
  <c r="I15" i="2"/>
  <c r="N15" i="2" s="1"/>
  <c r="M18" i="2"/>
  <c r="L18" i="2"/>
  <c r="J18" i="2"/>
  <c r="K18" i="2" s="1"/>
  <c r="I18" i="2"/>
  <c r="N18" i="2" s="1"/>
  <c r="M3" i="2"/>
  <c r="L3" i="2"/>
  <c r="J3" i="2"/>
  <c r="K3" i="2" s="1"/>
  <c r="I3" i="2"/>
  <c r="N3" i="2" s="1"/>
  <c r="M10" i="2"/>
  <c r="L10" i="2"/>
  <c r="J10" i="2"/>
  <c r="K10" i="2" s="1"/>
  <c r="I10" i="2"/>
  <c r="N10" i="2" s="1"/>
  <c r="M4" i="2"/>
  <c r="L4" i="2"/>
  <c r="J4" i="2"/>
  <c r="K4" i="2" s="1"/>
  <c r="I4" i="2"/>
  <c r="N4" i="2" s="1"/>
  <c r="M25" i="2"/>
  <c r="L25" i="2"/>
  <c r="J25" i="2"/>
  <c r="K25" i="2" s="1"/>
  <c r="I25" i="2"/>
  <c r="N25" i="2" s="1"/>
  <c r="M26" i="2"/>
  <c r="L26" i="2"/>
  <c r="J26" i="2"/>
  <c r="K26" i="2" s="1"/>
  <c r="I26" i="2"/>
  <c r="N26" i="2" s="1"/>
  <c r="M6" i="2"/>
  <c r="L6" i="2"/>
  <c r="J6" i="2"/>
  <c r="K6" i="2" s="1"/>
  <c r="I6" i="2"/>
  <c r="N6" i="2" s="1"/>
  <c r="M23" i="2"/>
  <c r="L23" i="2"/>
  <c r="J23" i="2"/>
  <c r="K23" i="2" s="1"/>
  <c r="I23" i="2"/>
  <c r="N23" i="2" s="1"/>
  <c r="M19" i="2"/>
  <c r="L19" i="2"/>
  <c r="J19" i="2"/>
  <c r="K19" i="2" s="1"/>
  <c r="I19" i="2"/>
  <c r="N19" i="2" s="1"/>
  <c r="M9" i="2"/>
  <c r="L9" i="2"/>
  <c r="J9" i="2"/>
  <c r="K9" i="2" s="1"/>
  <c r="I9" i="2"/>
  <c r="N9" i="2" s="1"/>
  <c r="M14" i="2"/>
  <c r="L14" i="2"/>
  <c r="J14" i="2"/>
  <c r="K14" i="2" s="1"/>
  <c r="I14" i="2"/>
  <c r="N14" i="2" s="1"/>
  <c r="M22" i="2"/>
  <c r="L22" i="2"/>
  <c r="J22" i="2"/>
  <c r="K22" i="2" s="1"/>
  <c r="I22" i="2"/>
  <c r="N22" i="2" s="1"/>
  <c r="M5" i="2"/>
  <c r="L5" i="2"/>
  <c r="J5" i="2"/>
  <c r="K5" i="2" s="1"/>
  <c r="I5" i="2"/>
  <c r="N5" i="2" s="1"/>
  <c r="M8" i="2"/>
  <c r="L8" i="2"/>
  <c r="J8" i="2"/>
  <c r="K8" i="2" s="1"/>
  <c r="I8" i="2"/>
  <c r="N8" i="2" s="1"/>
  <c r="M24" i="2"/>
  <c r="L24" i="2"/>
  <c r="J24" i="2"/>
  <c r="K24" i="2" s="1"/>
  <c r="I24" i="2"/>
  <c r="N24" i="2" s="1"/>
  <c r="M16" i="2"/>
  <c r="L16" i="2"/>
  <c r="J16" i="2"/>
  <c r="K16" i="2" s="1"/>
  <c r="I16" i="2"/>
  <c r="N16" i="2" s="1"/>
  <c r="M13" i="2"/>
  <c r="L13" i="2"/>
  <c r="J13" i="2"/>
  <c r="K13" i="2" s="1"/>
  <c r="I13" i="2"/>
  <c r="N13" i="2" s="1"/>
  <c r="M20" i="2"/>
  <c r="L20" i="2"/>
  <c r="J20" i="2"/>
  <c r="K20" i="2" s="1"/>
  <c r="I20" i="2"/>
  <c r="N20" i="2" s="1"/>
  <c r="M17" i="2"/>
  <c r="L17" i="2"/>
  <c r="J17" i="2"/>
  <c r="K17" i="2" s="1"/>
  <c r="I17" i="2"/>
  <c r="N17" i="2" s="1"/>
  <c r="H29" i="1"/>
  <c r="G29" i="1"/>
  <c r="E29" i="1"/>
  <c r="D29" i="1"/>
  <c r="H30" i="1"/>
  <c r="G30" i="1"/>
  <c r="E30" i="1"/>
  <c r="D30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I26" i="1"/>
  <c r="N26" i="1" s="1"/>
  <c r="I25" i="1"/>
  <c r="N25" i="1" s="1"/>
  <c r="I24" i="1"/>
  <c r="N24" i="1" s="1"/>
  <c r="I23" i="1"/>
  <c r="N23" i="1" s="1"/>
  <c r="I22" i="1"/>
  <c r="N22" i="1" s="1"/>
  <c r="I21" i="1"/>
  <c r="N21" i="1" s="1"/>
  <c r="I20" i="1"/>
  <c r="N20" i="1" s="1"/>
  <c r="I19" i="1"/>
  <c r="N19" i="1" s="1"/>
  <c r="I18" i="1"/>
  <c r="N18" i="1" s="1"/>
  <c r="I17" i="1"/>
  <c r="N17" i="1" s="1"/>
  <c r="I16" i="1"/>
  <c r="N16" i="1" s="1"/>
  <c r="I15" i="1"/>
  <c r="N15" i="1" s="1"/>
  <c r="I14" i="1"/>
  <c r="N14" i="1" s="1"/>
  <c r="I13" i="1"/>
  <c r="N13" i="1" s="1"/>
  <c r="I12" i="1"/>
  <c r="N12" i="1" s="1"/>
  <c r="I11" i="1"/>
  <c r="N11" i="1" s="1"/>
  <c r="I10" i="1"/>
  <c r="N10" i="1" s="1"/>
  <c r="I9" i="1"/>
  <c r="N9" i="1" s="1"/>
  <c r="I8" i="1"/>
  <c r="N8" i="1" s="1"/>
  <c r="I7" i="1"/>
  <c r="N7" i="1" s="1"/>
  <c r="I6" i="1"/>
  <c r="N6" i="1" s="1"/>
  <c r="I5" i="1"/>
  <c r="N5" i="1" s="1"/>
  <c r="I4" i="1"/>
  <c r="N4" i="1" s="1"/>
  <c r="I3" i="1"/>
  <c r="N3" i="1" s="1"/>
  <c r="L33" i="1" l="1"/>
  <c r="L30" i="1"/>
  <c r="L32" i="1"/>
  <c r="L29" i="1"/>
  <c r="L31" i="1"/>
  <c r="F30" i="1"/>
  <c r="F29" i="1"/>
  <c r="I2" i="1"/>
  <c r="M2" i="1"/>
  <c r="N2" i="1"/>
  <c r="L28" i="1"/>
  <c r="J2" i="1"/>
  <c r="K2" i="1"/>
</calcChain>
</file>

<file path=xl/sharedStrings.xml><?xml version="1.0" encoding="utf-8"?>
<sst xmlns="http://schemas.openxmlformats.org/spreadsheetml/2006/main" count="305" uniqueCount="92">
  <si>
    <t>S.No</t>
  </si>
  <si>
    <t>Roll Number</t>
  </si>
  <si>
    <t>Student Name</t>
  </si>
  <si>
    <t>English</t>
  </si>
  <si>
    <t>Maths</t>
  </si>
  <si>
    <t>Physics</t>
  </si>
  <si>
    <t>Chemistry</t>
  </si>
  <si>
    <t>CS</t>
  </si>
  <si>
    <t>Total</t>
  </si>
  <si>
    <t>Average</t>
  </si>
  <si>
    <t>Grade</t>
  </si>
  <si>
    <t>Rank</t>
  </si>
  <si>
    <t>Passed</t>
  </si>
  <si>
    <t>Failed</t>
  </si>
  <si>
    <t>20UCS001</t>
  </si>
  <si>
    <t>Alagammai Alias Uma N</t>
  </si>
  <si>
    <t>20UCS002</t>
  </si>
  <si>
    <t>Aadhitya A</t>
  </si>
  <si>
    <t>20UCS003</t>
  </si>
  <si>
    <t>Aravindkumar M</t>
  </si>
  <si>
    <t>20UCS004</t>
  </si>
  <si>
    <t>Arivardhini S</t>
  </si>
  <si>
    <t>20UCS005</t>
  </si>
  <si>
    <t>Dharshini RS</t>
  </si>
  <si>
    <t>20UCS006</t>
  </si>
  <si>
    <t>Divya Sri NS</t>
  </si>
  <si>
    <t>20UCS007</t>
  </si>
  <si>
    <t>Karthika T</t>
  </si>
  <si>
    <t>20UCS008</t>
  </si>
  <si>
    <t>Keerthiga B</t>
  </si>
  <si>
    <t>20UCS009</t>
  </si>
  <si>
    <t>Mirunalini K</t>
  </si>
  <si>
    <t>20UCS010</t>
  </si>
  <si>
    <t>Mohamed Nowfal M</t>
  </si>
  <si>
    <t>20UCS011</t>
  </si>
  <si>
    <t>Neema Prabha V</t>
  </si>
  <si>
    <t>20UCS012</t>
  </si>
  <si>
    <t>Nithya Shree R</t>
  </si>
  <si>
    <t>20UCS013</t>
  </si>
  <si>
    <t>Nithyashree R</t>
  </si>
  <si>
    <t>20UCS014</t>
  </si>
  <si>
    <t>Prashant Joshi</t>
  </si>
  <si>
    <t>20UCS015</t>
  </si>
  <si>
    <t>Praveen C</t>
  </si>
  <si>
    <t>20UCS016</t>
  </si>
  <si>
    <t>Raaghavendra K.Ra</t>
  </si>
  <si>
    <t>20UCS017</t>
  </si>
  <si>
    <t>Ragul Kesavan S</t>
  </si>
  <si>
    <t>20UCS018</t>
  </si>
  <si>
    <t>Sakthi Vickram R</t>
  </si>
  <si>
    <t>20UCS019</t>
  </si>
  <si>
    <t>Sanjay T</t>
  </si>
  <si>
    <t>20UCS020</t>
  </si>
  <si>
    <t>Shanmuga Priya S</t>
  </si>
  <si>
    <t>20UCS021</t>
  </si>
  <si>
    <t>Shanmuga Priya V</t>
  </si>
  <si>
    <t>20UCS022</t>
  </si>
  <si>
    <t>Srirammaswamy S</t>
  </si>
  <si>
    <t>20UCS023</t>
  </si>
  <si>
    <t>Swathi PG</t>
  </si>
  <si>
    <t>20UCS024</t>
  </si>
  <si>
    <t>Viswanathan N</t>
  </si>
  <si>
    <t>20UCS025</t>
  </si>
  <si>
    <t>Vrinda Pawan</t>
  </si>
  <si>
    <t>All Subject</t>
  </si>
  <si>
    <t>4 Subject</t>
  </si>
  <si>
    <t>3 Subject</t>
  </si>
  <si>
    <t>2 Subject</t>
  </si>
  <si>
    <t>1 Subject</t>
  </si>
  <si>
    <t>0 Subject</t>
  </si>
  <si>
    <t>Students Passed In All Subjects</t>
  </si>
  <si>
    <t>Sort By Name</t>
  </si>
  <si>
    <t>Chart</t>
  </si>
  <si>
    <t>Year</t>
  </si>
  <si>
    <t>Bears</t>
  </si>
  <si>
    <t>Dolphins</t>
  </si>
  <si>
    <t>Whales</t>
  </si>
  <si>
    <t>Salary (in Dollars)</t>
  </si>
  <si>
    <t>Car Price (In Dollars)</t>
  </si>
  <si>
    <t>Conversion Table</t>
  </si>
  <si>
    <t>Decimal</t>
  </si>
  <si>
    <t>Binary</t>
  </si>
  <si>
    <t>Decimal to Binary</t>
  </si>
  <si>
    <t>Inches</t>
  </si>
  <si>
    <t>Centimeter</t>
  </si>
  <si>
    <t>Inches to Centimetres</t>
  </si>
  <si>
    <t>Hours</t>
  </si>
  <si>
    <t>Minutes</t>
  </si>
  <si>
    <t>Hours to Minutes</t>
  </si>
  <si>
    <t>Celsius</t>
  </si>
  <si>
    <t>Fahrenheit</t>
  </si>
  <si>
    <t>Celsius to Fahrenheit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</si>
</sst>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Sheet1!$J$28</c:f>
              <c:strCache>
                <c:ptCount val="1"/>
                <c:pt idx="0">
                  <c:v>All Subject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Sheet1!$K$28:$L$28</c:f>
              <c:numCache>
                <c:formatCode>General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1-46EF-83DD-004D6189FA2D}"/>
            </c:ext>
          </c:extLst>
        </c:ser>
        <c:ser>
          <c:idx val="1"/>
          <c:order val="1"/>
          <c:tx>
            <c:strRef>
              <c:f>Sheet1!$J$29</c:f>
              <c:strCache>
                <c:ptCount val="1"/>
                <c:pt idx="0">
                  <c:v>4 Subject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Sheet1!$K$29:$L$29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1-46EF-83DD-004D6189FA2D}"/>
            </c:ext>
          </c:extLst>
        </c:ser>
        <c:ser>
          <c:idx val="2"/>
          <c:order val="2"/>
          <c:tx>
            <c:strRef>
              <c:f>Sheet1!$J$30</c:f>
              <c:strCache>
                <c:ptCount val="1"/>
                <c:pt idx="0">
                  <c:v>3 Subject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Sheet1!$K$30:$L$30</c:f>
              <c:numCache>
                <c:formatCode>General</c:formatCode>
                <c:ptCount val="2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D1-46EF-83DD-004D6189FA2D}"/>
            </c:ext>
          </c:extLst>
        </c:ser>
        <c:ser>
          <c:idx val="3"/>
          <c:order val="3"/>
          <c:tx>
            <c:strRef>
              <c:f>Sheet1!$J$31</c:f>
              <c:strCache>
                <c:ptCount val="1"/>
                <c:pt idx="0">
                  <c:v>2 Subject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Sheet1!$K$31:$L$31</c:f>
              <c:numCache>
                <c:formatCode>General</c:formatCode>
                <c:ptCount val="2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D1-46EF-83DD-004D6189FA2D}"/>
            </c:ext>
          </c:extLst>
        </c:ser>
        <c:ser>
          <c:idx val="4"/>
          <c:order val="4"/>
          <c:tx>
            <c:strRef>
              <c:f>Sheet1!$J$32</c:f>
              <c:strCache>
                <c:ptCount val="1"/>
                <c:pt idx="0">
                  <c:v>1 Subject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Sheet1!$K$32:$L$32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1-46EF-83DD-004D6189FA2D}"/>
            </c:ext>
          </c:extLst>
        </c:ser>
        <c:ser>
          <c:idx val="5"/>
          <c:order val="5"/>
          <c:tx>
            <c:strRef>
              <c:f>Sheet1!$J$33</c:f>
              <c:strCache>
                <c:ptCount val="1"/>
                <c:pt idx="0">
                  <c:v>0 Subject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Sheet1!$K$33:$L$33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D1-46EF-83DD-004D6189F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691216"/>
        <c:axId val="642697200"/>
      </c:barChart>
      <c:catAx>
        <c:axId val="6426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97200"/>
        <c:crosses val="autoZero"/>
        <c:auto val="1"/>
        <c:lblAlgn val="ctr"/>
        <c:lblOffset val="100"/>
        <c:noMultiLvlLbl val="0"/>
      </c:catAx>
      <c:valAx>
        <c:axId val="6426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Students Failed In Each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Sheet1!$C$30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F9-4DF6-AF55-49F7AD548C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F9-4DF6-AF55-49F7AD548C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F9-4DF6-AF55-49F7AD548C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F9-4DF6-AF55-49F7AD548C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0F9-4DF6-AF55-49F7AD548C4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Sheet1!$D$28:$H$28</c:f>
              <c:strCache>
                <c:ptCount val="5"/>
                <c:pt idx="0">
                  <c:v>English</c:v>
                </c:pt>
                <c:pt idx="1">
                  <c:v>Maths</c:v>
                </c:pt>
                <c:pt idx="2">
                  <c:v>Physics</c:v>
                </c:pt>
                <c:pt idx="3">
                  <c:v>Chemistry</c:v>
                </c:pt>
                <c:pt idx="4">
                  <c:v>CS</c:v>
                </c:pt>
              </c:strCache>
            </c:strRef>
          </c:cat>
          <c:val>
            <c:numRef>
              <c:f>Sheet1!$D$30:$H$30</c:f>
              <c:numCache>
                <c:formatCode>General</c:formatCode>
                <c:ptCount val="5"/>
                <c:pt idx="0">
                  <c:v>7</c:v>
                </c:pt>
                <c:pt idx="1">
                  <c:v>14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F9-4DF6-AF55-49F7AD548C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Sheet1!$C$29</c15:sqref>
                        </c15:formulaRef>
                      </c:ext>
                    </c:extLst>
                    <c:strCache>
                      <c:ptCount val="1"/>
                      <c:pt idx="0">
                        <c:v>Passed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0F9-4DF6-AF55-49F7AD548C4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0F9-4DF6-AF55-49F7AD548C4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D0F9-4DF6-AF55-49F7AD548C4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D0F9-4DF6-AF55-49F7AD548C4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D0F9-4DF6-AF55-49F7AD548C40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Sheet1!$D$28:$H$28</c15:sqref>
                        </c15:formulaRef>
                      </c:ext>
                    </c:extLst>
                    <c:strCache>
                      <c:ptCount val="5"/>
                      <c:pt idx="0">
                        <c:v>English</c:v>
                      </c:pt>
                      <c:pt idx="1">
                        <c:v>Maths</c:v>
                      </c:pt>
                      <c:pt idx="2">
                        <c:v>Physics</c:v>
                      </c:pt>
                      <c:pt idx="3">
                        <c:v>Chemistry</c:v>
                      </c:pt>
                      <c:pt idx="4">
                        <c:v>CS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Sheet1!$D$29:$H$29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17</c:v>
                      </c:pt>
                      <c:pt idx="1">
                        <c:v>11</c:v>
                      </c:pt>
                      <c:pt idx="2">
                        <c:v>16</c:v>
                      </c:pt>
                      <c:pt idx="3">
                        <c:v>15</c:v>
                      </c:pt>
                      <c:pt idx="4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D0F9-4DF6-AF55-49F7AD548C4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Sheet4!$B$3:$B$8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2-4157-8098-4004AE21CC2B}"/>
            </c:ext>
          </c:extLst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Sheet4!$C$3:$C$8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2-4157-8098-4004AE21CC2B}"/>
            </c:ext>
          </c:extLst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Sheet4!$D$3:$D$8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2-4157-8098-4004AE21C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365952"/>
        <c:axId val="573368128"/>
      </c:lineChart>
      <c:catAx>
        <c:axId val="57336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68128"/>
        <c:crosses val="autoZero"/>
        <c:auto val="1"/>
        <c:lblAlgn val="ctr"/>
        <c:lblOffset val="100"/>
        <c:noMultiLvlLbl val="0"/>
      </c:catAx>
      <c:valAx>
        <c:axId val="5733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Sheet4!$B$11</c:f>
              <c:strCache>
                <c:ptCount val="1"/>
                <c:pt idx="0">
                  <c:v>Car Price (In Dollars)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Sheet4!$A$12:$A$16</c:f>
              <c:numCache>
                <c:formatCode>General</c:formatCode>
                <c:ptCount val="5"/>
                <c:pt idx="0">
                  <c:v>42763</c:v>
                </c:pt>
                <c:pt idx="1">
                  <c:v>195387</c:v>
                </c:pt>
                <c:pt idx="2">
                  <c:v>35672</c:v>
                </c:pt>
                <c:pt idx="3">
                  <c:v>217637</c:v>
                </c:pt>
                <c:pt idx="4">
                  <c:v>74734</c:v>
                </c:pt>
              </c:numCache>
            </c:numRef>
          </c:xVal>
          <c:yVal>
            <c:numRef>
              <c:f>Sheet4!$B$12:$B$16</c:f>
              <c:numCache>
                <c:formatCode>General</c:formatCode>
                <c:ptCount val="5"/>
                <c:pt idx="0">
                  <c:v>19455</c:v>
                </c:pt>
                <c:pt idx="1">
                  <c:v>93965</c:v>
                </c:pt>
                <c:pt idx="2">
                  <c:v>20858</c:v>
                </c:pt>
                <c:pt idx="3">
                  <c:v>107164</c:v>
                </c:pt>
                <c:pt idx="4">
                  <c:v>34036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1-4A27-B3AF-54CB15676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220288"/>
        <c:axId val="543224640"/>
      </c:scatterChart>
      <c:valAx>
        <c:axId val="54322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24640"/>
        <c:crosses val="autoZero"/>
        <c:crossBetween val="midCat"/>
      </c:valAx>
      <c:valAx>
        <c:axId val="543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2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296334</xdr:colOff>
      <xdr:row>26</xdr:row>
      <xdr:rowOff>30691</xdr:rowOff>
    </xdr:from>
    <xdr:to>
      <xdr:col>21</xdr:col>
      <xdr:colOff>571500</xdr:colOff>
      <xdr:row>40</xdr:row>
      <xdr:rowOff>106891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359834</xdr:colOff>
      <xdr:row>10</xdr:row>
      <xdr:rowOff>83607</xdr:rowOff>
    </xdr:from>
    <xdr:to>
      <xdr:col>22</xdr:col>
      <xdr:colOff>21167</xdr:colOff>
      <xdr:row>24</xdr:row>
      <xdr:rowOff>159807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9531</xdr:rowOff>
    </xdr:from>
    <xdr:to>
      <xdr:col>10</xdr:col>
      <xdr:colOff>504825</xdr:colOff>
      <xdr:row>9</xdr:row>
      <xdr:rowOff>22866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304799</xdr:colOff>
      <xdr:row>9</xdr:row>
      <xdr:rowOff>221931</xdr:rowOff>
    </xdr:from>
    <xdr:to>
      <xdr:col>9</xdr:col>
      <xdr:colOff>600074</xdr:colOff>
      <xdr:row>16</xdr:row>
      <xdr:rowOff>195261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zoomScale="90" zoomScaleNormal="90" workbookViewId="0">
      <selection activeCell="N1" sqref="A1:N26"/>
    </sheetView>
  </sheetViews>
  <sheetFormatPr defaultRowHeight="15"/>
  <cols>
    <col min="1" max="1" width="5.140625" bestFit="1" customWidth="1"/>
    <col min="2" max="2" width="12.140625" bestFit="1" customWidth="1"/>
    <col min="3" max="3" width="22.28515625" bestFit="1" customWidth="1"/>
    <col min="4" max="4" width="7.28515625" bestFit="1" customWidth="1"/>
    <col min="5" max="5" width="6.5703125" bestFit="1" customWidth="1"/>
    <col min="6" max="6" width="7.42578125" bestFit="1" customWidth="1"/>
    <col min="7" max="7" width="10" bestFit="1" customWidth="1"/>
    <col min="8" max="8" width="3.140625" bestFit="1" customWidth="1"/>
    <col min="9" max="9" width="5.42578125" bestFit="1" customWidth="1"/>
    <col min="10" max="10" width="8.28515625" bestFit="1" customWidth="1"/>
    <col min="11" max="11" width="6.42578125" bestFit="1" customWidth="1"/>
    <col min="12" max="12" width="5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3" t="s">
        <v>14</v>
      </c>
      <c r="C2" s="3" t="s">
        <v>15</v>
      </c>
      <c r="D2" s="2">
        <v>56</v>
      </c>
      <c r="E2" s="2">
        <v>56</v>
      </c>
      <c r="F2" s="2">
        <v>50</v>
      </c>
      <c r="G2" s="2">
        <v>57</v>
      </c>
      <c r="H2" s="2">
        <v>59</v>
      </c>
      <c r="I2" s="2">
        <f>SUM(D2:H2)</f>
        <v>278</v>
      </c>
      <c r="J2" s="2">
        <f>AVERAGE(D2:H2)</f>
        <v>55.6</v>
      </c>
      <c r="K2" s="2" t="str">
        <f>IF(J2&gt;90,"O",IF(J2&gt;80,"A+",IF(J2&gt;70,"A",IF(J2&gt;60,"B+",IF(J2&gt;=50,"B","RA")))))</f>
        <v>B</v>
      </c>
      <c r="L2" s="2">
        <f>RANK(D2,$D$2:$D$26)</f>
        <v>16</v>
      </c>
      <c r="M2" s="3">
        <f>COUNTIF(D2:H2, "&gt;=50")</f>
        <v>5</v>
      </c>
      <c r="N2" s="3">
        <f>COUNTIF(E2:I2, "&lt;50")</f>
        <v>0</v>
      </c>
    </row>
    <row r="3" spans="1:14">
      <c r="A3" s="2">
        <v>2</v>
      </c>
      <c r="B3" s="3" t="s">
        <v>16</v>
      </c>
      <c r="C3" s="3" t="s">
        <v>17</v>
      </c>
      <c r="D3" s="2">
        <v>49</v>
      </c>
      <c r="E3" s="2">
        <v>88</v>
      </c>
      <c r="F3" s="2">
        <v>100</v>
      </c>
      <c r="G3" s="2">
        <v>53</v>
      </c>
      <c r="H3" s="2">
        <v>79</v>
      </c>
      <c r="I3" s="2">
        <f t="shared" ref="I3:I26" si="0">SUM(D3:H3)</f>
        <v>369</v>
      </c>
      <c r="J3" s="2">
        <f t="shared" ref="J3:J26" si="1">AVERAGE(D3:H3)</f>
        <v>73.8</v>
      </c>
      <c r="K3" s="2" t="str">
        <f>IF(J3&gt;90,"O",IF(J3&gt;80,"A+",IF(J3&gt;70,"A",IF(J3&gt;60,"B+",IF(J3&gt;=50,"B","RA")))))</f>
        <v>A</v>
      </c>
      <c r="L3" s="2">
        <f t="shared" ref="L3:L26" si="2">RANK(D3,$D$2:$D$26)</f>
        <v>19</v>
      </c>
      <c r="M3" s="3">
        <f t="shared" ref="M3:M26" si="3">COUNTIF(D3:H3, "&gt;=50")</f>
        <v>4</v>
      </c>
      <c r="N3" s="3">
        <f t="shared" ref="N3:N26" si="4">COUNTIF(E3:I3, "&lt;50")</f>
        <v>0</v>
      </c>
    </row>
    <row r="4" spans="1:14">
      <c r="A4" s="2">
        <v>3</v>
      </c>
      <c r="B4" s="3" t="s">
        <v>18</v>
      </c>
      <c r="C4" s="3" t="s">
        <v>19</v>
      </c>
      <c r="D4" s="2">
        <v>80</v>
      </c>
      <c r="E4" s="2">
        <v>39</v>
      </c>
      <c r="F4" s="2">
        <v>55</v>
      </c>
      <c r="G4" s="2">
        <v>73</v>
      </c>
      <c r="H4" s="2">
        <v>46</v>
      </c>
      <c r="I4" s="2">
        <f t="shared" si="0"/>
        <v>293</v>
      </c>
      <c r="J4" s="2">
        <f t="shared" si="1"/>
        <v>58.6</v>
      </c>
      <c r="K4" s="2" t="str">
        <f>IF(J4&gt;90,"O",IF(J4&gt;80,"A+",IF(J4&gt;70,"A",IF(J4&gt;60,"B+",IF(J4&gt;=50,"B","RA")))))</f>
        <v>B</v>
      </c>
      <c r="L4" s="2">
        <f t="shared" si="2"/>
        <v>12</v>
      </c>
      <c r="M4" s="3">
        <f t="shared" si="3"/>
        <v>3</v>
      </c>
      <c r="N4" s="3">
        <f t="shared" si="4"/>
        <v>2</v>
      </c>
    </row>
    <row r="5" spans="1:14">
      <c r="A5" s="2">
        <v>4</v>
      </c>
      <c r="B5" s="3" t="s">
        <v>20</v>
      </c>
      <c r="C5" s="3" t="s">
        <v>21</v>
      </c>
      <c r="D5" s="2">
        <v>57</v>
      </c>
      <c r="E5" s="2">
        <v>49</v>
      </c>
      <c r="F5" s="2">
        <v>82</v>
      </c>
      <c r="G5" s="2">
        <v>31</v>
      </c>
      <c r="H5" s="2">
        <v>52</v>
      </c>
      <c r="I5" s="2">
        <f t="shared" si="0"/>
        <v>271</v>
      </c>
      <c r="J5" s="2">
        <f t="shared" si="1"/>
        <v>54.2</v>
      </c>
      <c r="K5" s="2" t="str">
        <f>IF(J5&gt;90,"O",IF(J5&gt;80,"A+",IF(J5&gt;70,"A",IF(J5&gt;60,"B+",IF(J5&gt;=50,"B","RA")))))</f>
        <v>B</v>
      </c>
      <c r="L5" s="2">
        <f t="shared" si="2"/>
        <v>15</v>
      </c>
      <c r="M5" s="3">
        <f t="shared" si="3"/>
        <v>3</v>
      </c>
      <c r="N5" s="3">
        <f t="shared" si="4"/>
        <v>2</v>
      </c>
    </row>
    <row r="6" spans="1:14">
      <c r="A6" s="2">
        <v>5</v>
      </c>
      <c r="B6" s="3" t="s">
        <v>22</v>
      </c>
      <c r="C6" s="3" t="s">
        <v>23</v>
      </c>
      <c r="D6" s="2">
        <v>16</v>
      </c>
      <c r="E6" s="2">
        <v>47</v>
      </c>
      <c r="F6" s="2">
        <v>5</v>
      </c>
      <c r="G6" s="2">
        <v>25</v>
      </c>
      <c r="H6" s="2">
        <v>18</v>
      </c>
      <c r="I6" s="2">
        <f t="shared" si="0"/>
        <v>111</v>
      </c>
      <c r="J6" s="2">
        <f t="shared" si="1"/>
        <v>22.2</v>
      </c>
      <c r="K6" s="2" t="str">
        <f>IF(J6&gt;90,"O",IF(J6&gt;80,"A+",IF(J6&gt;70,"A",IF(J6&gt;60,"B+",IF(J6&gt;=50,"B","RA")))))</f>
        <v>RA</v>
      </c>
      <c r="L6" s="2">
        <f t="shared" si="2"/>
        <v>23</v>
      </c>
      <c r="M6" s="3">
        <f t="shared" si="3"/>
        <v>0</v>
      </c>
      <c r="N6" s="3">
        <f t="shared" si="4"/>
        <v>4</v>
      </c>
    </row>
    <row r="7" spans="1:14">
      <c r="A7" s="2">
        <v>6</v>
      </c>
      <c r="B7" s="3" t="s">
        <v>24</v>
      </c>
      <c r="C7" s="3" t="s">
        <v>25</v>
      </c>
      <c r="D7" s="2">
        <v>88</v>
      </c>
      <c r="E7" s="2">
        <v>50</v>
      </c>
      <c r="F7" s="2">
        <v>9</v>
      </c>
      <c r="G7" s="2">
        <v>16</v>
      </c>
      <c r="H7" s="2">
        <v>59</v>
      </c>
      <c r="I7" s="2">
        <f t="shared" si="0"/>
        <v>222</v>
      </c>
      <c r="J7" s="2">
        <f t="shared" si="1"/>
        <v>44.4</v>
      </c>
      <c r="K7" s="2" t="str">
        <f>IF(J7&gt;90,"O",IF(J7&gt;80,"A+",IF(J7&gt;70,"A",IF(J7&gt;60,"B+",IF(J7&gt;=50,"B","RA")))))</f>
        <v>RA</v>
      </c>
      <c r="L7" s="2">
        <f t="shared" si="2"/>
        <v>7</v>
      </c>
      <c r="M7" s="3">
        <f t="shared" si="3"/>
        <v>3</v>
      </c>
      <c r="N7" s="3">
        <f t="shared" si="4"/>
        <v>2</v>
      </c>
    </row>
    <row r="8" spans="1:14">
      <c r="A8" s="2">
        <v>7</v>
      </c>
      <c r="B8" s="3" t="s">
        <v>26</v>
      </c>
      <c r="C8" s="3" t="s">
        <v>27</v>
      </c>
      <c r="D8" s="2">
        <v>90</v>
      </c>
      <c r="E8" s="2">
        <v>71</v>
      </c>
      <c r="F8" s="2">
        <v>85</v>
      </c>
      <c r="G8" s="2">
        <v>55</v>
      </c>
      <c r="H8" s="2">
        <v>50</v>
      </c>
      <c r="I8" s="2">
        <f t="shared" si="0"/>
        <v>351</v>
      </c>
      <c r="J8" s="2">
        <f t="shared" si="1"/>
        <v>70.2</v>
      </c>
      <c r="K8" s="2" t="str">
        <f>IF(J8&gt;90,"O",IF(J8&gt;80,"A+",IF(J8&gt;70,"A",IF(J8&gt;60,"B+",IF(J8&gt;=50,"B","RA")))))</f>
        <v>A</v>
      </c>
      <c r="L8" s="2">
        <f t="shared" si="2"/>
        <v>4</v>
      </c>
      <c r="M8" s="3">
        <f t="shared" si="3"/>
        <v>5</v>
      </c>
      <c r="N8" s="3">
        <f t="shared" si="4"/>
        <v>0</v>
      </c>
    </row>
    <row r="9" spans="1:14">
      <c r="A9" s="2">
        <v>8</v>
      </c>
      <c r="B9" s="3" t="s">
        <v>28</v>
      </c>
      <c r="C9" s="3" t="s">
        <v>29</v>
      </c>
      <c r="D9" s="2">
        <v>26</v>
      </c>
      <c r="E9" s="2">
        <v>46</v>
      </c>
      <c r="F9" s="2">
        <v>16</v>
      </c>
      <c r="G9" s="2">
        <v>69</v>
      </c>
      <c r="H9" s="2">
        <v>22</v>
      </c>
      <c r="I9" s="2">
        <f t="shared" si="0"/>
        <v>179</v>
      </c>
      <c r="J9" s="2">
        <f t="shared" si="1"/>
        <v>35.799999999999997</v>
      </c>
      <c r="K9" s="2" t="str">
        <f t="shared" ref="K9:K26" si="5">IF(J9&gt;90,"O",IF(J9&gt;80,"A+",IF(J9&gt;70,"A",IF(J9&gt;60,"B+",IF(J9&gt;=50,"B","RA")))))</f>
        <v>RA</v>
      </c>
      <c r="L9" s="2">
        <f t="shared" si="2"/>
        <v>21</v>
      </c>
      <c r="M9" s="3">
        <f t="shared" si="3"/>
        <v>1</v>
      </c>
      <c r="N9" s="3">
        <f t="shared" si="4"/>
        <v>3</v>
      </c>
    </row>
    <row r="10" spans="1:14">
      <c r="A10" s="2">
        <v>9</v>
      </c>
      <c r="B10" s="3" t="s">
        <v>30</v>
      </c>
      <c r="C10" s="3" t="s">
        <v>31</v>
      </c>
      <c r="D10" s="2">
        <v>80</v>
      </c>
      <c r="E10" s="2">
        <v>18</v>
      </c>
      <c r="F10" s="2">
        <v>61</v>
      </c>
      <c r="G10" s="2">
        <v>16</v>
      </c>
      <c r="H10" s="2">
        <v>64</v>
      </c>
      <c r="I10" s="2">
        <f t="shared" si="0"/>
        <v>239</v>
      </c>
      <c r="J10" s="2">
        <f t="shared" si="1"/>
        <v>47.8</v>
      </c>
      <c r="K10" s="2" t="str">
        <f t="shared" si="5"/>
        <v>RA</v>
      </c>
      <c r="L10" s="2">
        <f t="shared" si="2"/>
        <v>12</v>
      </c>
      <c r="M10" s="3">
        <f t="shared" si="3"/>
        <v>3</v>
      </c>
      <c r="N10" s="3">
        <f t="shared" si="4"/>
        <v>2</v>
      </c>
    </row>
    <row r="11" spans="1:14">
      <c r="A11" s="2">
        <v>10</v>
      </c>
      <c r="B11" s="3" t="s">
        <v>32</v>
      </c>
      <c r="C11" s="3" t="s">
        <v>33</v>
      </c>
      <c r="D11" s="2">
        <v>87</v>
      </c>
      <c r="E11" s="2">
        <v>40</v>
      </c>
      <c r="F11" s="2">
        <v>43</v>
      </c>
      <c r="G11" s="2">
        <v>100</v>
      </c>
      <c r="H11" s="2">
        <v>60</v>
      </c>
      <c r="I11" s="2">
        <f t="shared" si="0"/>
        <v>330</v>
      </c>
      <c r="J11" s="2">
        <f t="shared" si="1"/>
        <v>66</v>
      </c>
      <c r="K11" s="2" t="str">
        <f t="shared" si="5"/>
        <v>B+</v>
      </c>
      <c r="L11" s="2">
        <f t="shared" si="2"/>
        <v>8</v>
      </c>
      <c r="M11" s="3">
        <f t="shared" si="3"/>
        <v>3</v>
      </c>
      <c r="N11" s="3">
        <f t="shared" si="4"/>
        <v>2</v>
      </c>
    </row>
    <row r="12" spans="1:14">
      <c r="A12" s="2">
        <v>11</v>
      </c>
      <c r="B12" s="3" t="s">
        <v>34</v>
      </c>
      <c r="C12" s="3" t="s">
        <v>35</v>
      </c>
      <c r="D12" s="2">
        <v>55</v>
      </c>
      <c r="E12" s="2">
        <v>75</v>
      </c>
      <c r="F12" s="2">
        <v>70</v>
      </c>
      <c r="G12" s="2">
        <v>99</v>
      </c>
      <c r="H12" s="2">
        <v>79</v>
      </c>
      <c r="I12" s="2">
        <f t="shared" si="0"/>
        <v>378</v>
      </c>
      <c r="J12" s="2">
        <f t="shared" si="1"/>
        <v>75.599999999999994</v>
      </c>
      <c r="K12" s="2" t="str">
        <f t="shared" si="5"/>
        <v>A</v>
      </c>
      <c r="L12" s="2">
        <f t="shared" si="2"/>
        <v>18</v>
      </c>
      <c r="M12" s="3">
        <f t="shared" si="3"/>
        <v>5</v>
      </c>
      <c r="N12" s="3">
        <f t="shared" si="4"/>
        <v>0</v>
      </c>
    </row>
    <row r="13" spans="1:14">
      <c r="A13" s="2">
        <v>12</v>
      </c>
      <c r="B13" s="3" t="s">
        <v>36</v>
      </c>
      <c r="C13" s="3" t="s">
        <v>37</v>
      </c>
      <c r="D13" s="2">
        <v>19</v>
      </c>
      <c r="E13" s="2">
        <v>11</v>
      </c>
      <c r="F13" s="2">
        <v>99</v>
      </c>
      <c r="G13" s="2">
        <v>65</v>
      </c>
      <c r="H13" s="2">
        <v>18</v>
      </c>
      <c r="I13" s="2">
        <f t="shared" si="0"/>
        <v>212</v>
      </c>
      <c r="J13" s="2">
        <f t="shared" si="1"/>
        <v>42.4</v>
      </c>
      <c r="K13" s="2" t="str">
        <f t="shared" si="5"/>
        <v>RA</v>
      </c>
      <c r="L13" s="2">
        <f t="shared" si="2"/>
        <v>22</v>
      </c>
      <c r="M13" s="3">
        <f t="shared" si="3"/>
        <v>2</v>
      </c>
      <c r="N13" s="3">
        <f t="shared" si="4"/>
        <v>2</v>
      </c>
    </row>
    <row r="14" spans="1:14">
      <c r="A14" s="2">
        <v>13</v>
      </c>
      <c r="B14" s="3" t="s">
        <v>38</v>
      </c>
      <c r="C14" s="3" t="s">
        <v>39</v>
      </c>
      <c r="D14" s="2">
        <v>90</v>
      </c>
      <c r="E14" s="2">
        <v>49</v>
      </c>
      <c r="F14" s="2">
        <v>10</v>
      </c>
      <c r="G14" s="2">
        <v>54</v>
      </c>
      <c r="H14" s="2">
        <v>17</v>
      </c>
      <c r="I14" s="2">
        <f t="shared" si="0"/>
        <v>220</v>
      </c>
      <c r="J14" s="2">
        <f t="shared" si="1"/>
        <v>44</v>
      </c>
      <c r="K14" s="2" t="str">
        <f t="shared" si="5"/>
        <v>RA</v>
      </c>
      <c r="L14" s="2">
        <f t="shared" si="2"/>
        <v>4</v>
      </c>
      <c r="M14" s="3">
        <f t="shared" si="3"/>
        <v>2</v>
      </c>
      <c r="N14" s="3">
        <f t="shared" si="4"/>
        <v>3</v>
      </c>
    </row>
    <row r="15" spans="1:14">
      <c r="A15" s="2">
        <v>14</v>
      </c>
      <c r="B15" s="3" t="s">
        <v>40</v>
      </c>
      <c r="C15" s="3" t="s">
        <v>41</v>
      </c>
      <c r="D15" s="2">
        <v>7</v>
      </c>
      <c r="E15" s="2">
        <v>11</v>
      </c>
      <c r="F15" s="2">
        <v>78</v>
      </c>
      <c r="G15" s="2">
        <v>14</v>
      </c>
      <c r="H15" s="2">
        <v>73</v>
      </c>
      <c r="I15" s="2">
        <f t="shared" si="0"/>
        <v>183</v>
      </c>
      <c r="J15" s="2">
        <f t="shared" si="1"/>
        <v>36.6</v>
      </c>
      <c r="K15" s="2" t="str">
        <f t="shared" si="5"/>
        <v>RA</v>
      </c>
      <c r="L15" s="2">
        <f t="shared" si="2"/>
        <v>25</v>
      </c>
      <c r="M15" s="3">
        <f t="shared" si="3"/>
        <v>2</v>
      </c>
      <c r="N15" s="3">
        <f t="shared" si="4"/>
        <v>2</v>
      </c>
    </row>
    <row r="16" spans="1:14">
      <c r="A16" s="2">
        <v>15</v>
      </c>
      <c r="B16" s="3" t="s">
        <v>42</v>
      </c>
      <c r="C16" s="3" t="s">
        <v>43</v>
      </c>
      <c r="D16" s="2">
        <v>8</v>
      </c>
      <c r="E16" s="2">
        <v>77</v>
      </c>
      <c r="F16" s="2">
        <v>60</v>
      </c>
      <c r="G16" s="2">
        <v>25</v>
      </c>
      <c r="H16" s="2">
        <v>1</v>
      </c>
      <c r="I16" s="2">
        <f t="shared" si="0"/>
        <v>171</v>
      </c>
      <c r="J16" s="2">
        <f t="shared" si="1"/>
        <v>34.200000000000003</v>
      </c>
      <c r="K16" s="2" t="str">
        <f t="shared" si="5"/>
        <v>RA</v>
      </c>
      <c r="L16" s="2">
        <f t="shared" si="2"/>
        <v>24</v>
      </c>
      <c r="M16" s="3">
        <f t="shared" si="3"/>
        <v>2</v>
      </c>
      <c r="N16" s="3">
        <f t="shared" si="4"/>
        <v>2</v>
      </c>
    </row>
    <row r="17" spans="1:14">
      <c r="A17" s="2">
        <v>16</v>
      </c>
      <c r="B17" s="3" t="s">
        <v>44</v>
      </c>
      <c r="C17" s="3" t="s">
        <v>45</v>
      </c>
      <c r="D17" s="2">
        <v>92</v>
      </c>
      <c r="E17" s="2">
        <v>2</v>
      </c>
      <c r="F17" s="2">
        <v>7</v>
      </c>
      <c r="G17" s="2">
        <v>33</v>
      </c>
      <c r="H17" s="2">
        <v>6</v>
      </c>
      <c r="I17" s="2">
        <f t="shared" si="0"/>
        <v>140</v>
      </c>
      <c r="J17" s="2">
        <f t="shared" si="1"/>
        <v>28</v>
      </c>
      <c r="K17" s="2" t="str">
        <f t="shared" si="5"/>
        <v>RA</v>
      </c>
      <c r="L17" s="2">
        <f t="shared" si="2"/>
        <v>3</v>
      </c>
      <c r="M17" s="3">
        <f t="shared" si="3"/>
        <v>1</v>
      </c>
      <c r="N17" s="3">
        <f t="shared" si="4"/>
        <v>4</v>
      </c>
    </row>
    <row r="18" spans="1:14">
      <c r="A18" s="2">
        <v>17</v>
      </c>
      <c r="B18" s="3" t="s">
        <v>46</v>
      </c>
      <c r="C18" s="3" t="s">
        <v>47</v>
      </c>
      <c r="D18" s="2">
        <v>82</v>
      </c>
      <c r="E18" s="2">
        <v>51</v>
      </c>
      <c r="F18" s="2">
        <v>63</v>
      </c>
      <c r="G18" s="2">
        <v>71</v>
      </c>
      <c r="H18" s="2">
        <v>89</v>
      </c>
      <c r="I18" s="2">
        <f t="shared" si="0"/>
        <v>356</v>
      </c>
      <c r="J18" s="2">
        <f t="shared" si="1"/>
        <v>71.2</v>
      </c>
      <c r="K18" s="2" t="str">
        <f t="shared" si="5"/>
        <v>A</v>
      </c>
      <c r="L18" s="2">
        <f t="shared" si="2"/>
        <v>9</v>
      </c>
      <c r="M18" s="3">
        <f t="shared" si="3"/>
        <v>5</v>
      </c>
      <c r="N18" s="3">
        <f t="shared" si="4"/>
        <v>0</v>
      </c>
    </row>
    <row r="19" spans="1:14">
      <c r="A19" s="2">
        <v>18</v>
      </c>
      <c r="B19" s="3" t="s">
        <v>48</v>
      </c>
      <c r="C19" s="3" t="s">
        <v>49</v>
      </c>
      <c r="D19" s="2">
        <v>98</v>
      </c>
      <c r="E19" s="2">
        <v>44</v>
      </c>
      <c r="F19" s="2">
        <v>14</v>
      </c>
      <c r="G19" s="2">
        <v>66</v>
      </c>
      <c r="H19" s="2">
        <v>59</v>
      </c>
      <c r="I19" s="2">
        <f t="shared" si="0"/>
        <v>281</v>
      </c>
      <c r="J19" s="2">
        <f t="shared" si="1"/>
        <v>56.2</v>
      </c>
      <c r="K19" s="2" t="str">
        <f t="shared" si="5"/>
        <v>B</v>
      </c>
      <c r="L19" s="2">
        <f t="shared" si="2"/>
        <v>2</v>
      </c>
      <c r="M19" s="3">
        <f t="shared" si="3"/>
        <v>3</v>
      </c>
      <c r="N19" s="3">
        <f t="shared" si="4"/>
        <v>2</v>
      </c>
    </row>
    <row r="20" spans="1:14">
      <c r="A20" s="2">
        <v>19</v>
      </c>
      <c r="B20" s="3" t="s">
        <v>50</v>
      </c>
      <c r="C20" s="3" t="s">
        <v>51</v>
      </c>
      <c r="D20" s="2">
        <v>56</v>
      </c>
      <c r="E20" s="2">
        <v>23</v>
      </c>
      <c r="F20" s="2">
        <v>61</v>
      </c>
      <c r="G20" s="2">
        <v>31</v>
      </c>
      <c r="H20" s="2">
        <v>3</v>
      </c>
      <c r="I20" s="2">
        <f t="shared" si="0"/>
        <v>174</v>
      </c>
      <c r="J20" s="2">
        <f t="shared" si="1"/>
        <v>34.799999999999997</v>
      </c>
      <c r="K20" s="2" t="str">
        <f t="shared" si="5"/>
        <v>RA</v>
      </c>
      <c r="L20" s="2">
        <f t="shared" si="2"/>
        <v>16</v>
      </c>
      <c r="M20" s="3">
        <f t="shared" si="3"/>
        <v>2</v>
      </c>
      <c r="N20" s="3">
        <f t="shared" si="4"/>
        <v>3</v>
      </c>
    </row>
    <row r="21" spans="1:14">
      <c r="A21" s="2">
        <v>20</v>
      </c>
      <c r="B21" s="3" t="s">
        <v>52</v>
      </c>
      <c r="C21" s="3" t="s">
        <v>53</v>
      </c>
      <c r="D21" s="2">
        <v>60</v>
      </c>
      <c r="E21" s="2">
        <v>37</v>
      </c>
      <c r="F21" s="2">
        <v>94</v>
      </c>
      <c r="G21" s="2">
        <v>37</v>
      </c>
      <c r="H21" s="2">
        <v>99</v>
      </c>
      <c r="I21" s="2">
        <f t="shared" si="0"/>
        <v>327</v>
      </c>
      <c r="J21" s="2">
        <f t="shared" si="1"/>
        <v>65.400000000000006</v>
      </c>
      <c r="K21" s="2" t="str">
        <f t="shared" si="5"/>
        <v>B+</v>
      </c>
      <c r="L21" s="2">
        <f t="shared" si="2"/>
        <v>14</v>
      </c>
      <c r="M21" s="3">
        <f t="shared" si="3"/>
        <v>3</v>
      </c>
      <c r="N21" s="3">
        <f t="shared" si="4"/>
        <v>2</v>
      </c>
    </row>
    <row r="22" spans="1:14">
      <c r="A22" s="2">
        <v>21</v>
      </c>
      <c r="B22" s="3" t="s">
        <v>54</v>
      </c>
      <c r="C22" s="3" t="s">
        <v>55</v>
      </c>
      <c r="D22" s="2">
        <v>82</v>
      </c>
      <c r="E22" s="2">
        <v>95</v>
      </c>
      <c r="F22" s="2">
        <v>12</v>
      </c>
      <c r="G22" s="2">
        <v>100</v>
      </c>
      <c r="H22" s="2">
        <v>3</v>
      </c>
      <c r="I22" s="2">
        <f t="shared" si="0"/>
        <v>292</v>
      </c>
      <c r="J22" s="2">
        <f t="shared" si="1"/>
        <v>58.4</v>
      </c>
      <c r="K22" s="2" t="str">
        <f t="shared" si="5"/>
        <v>B</v>
      </c>
      <c r="L22" s="2">
        <f t="shared" si="2"/>
        <v>9</v>
      </c>
      <c r="M22" s="3">
        <f t="shared" si="3"/>
        <v>3</v>
      </c>
      <c r="N22" s="3">
        <f t="shared" si="4"/>
        <v>2</v>
      </c>
    </row>
    <row r="23" spans="1:14">
      <c r="A23" s="2">
        <v>22</v>
      </c>
      <c r="B23" s="3" t="s">
        <v>56</v>
      </c>
      <c r="C23" s="3" t="s">
        <v>57</v>
      </c>
      <c r="D23" s="2">
        <v>89</v>
      </c>
      <c r="E23" s="2">
        <v>89</v>
      </c>
      <c r="F23" s="2">
        <v>55</v>
      </c>
      <c r="G23" s="2">
        <v>52</v>
      </c>
      <c r="H23" s="2">
        <v>37</v>
      </c>
      <c r="I23" s="2">
        <f t="shared" si="0"/>
        <v>322</v>
      </c>
      <c r="J23" s="2">
        <f t="shared" si="1"/>
        <v>64.400000000000006</v>
      </c>
      <c r="K23" s="2" t="str">
        <f t="shared" si="5"/>
        <v>B+</v>
      </c>
      <c r="L23" s="2">
        <f t="shared" si="2"/>
        <v>6</v>
      </c>
      <c r="M23" s="3">
        <f t="shared" si="3"/>
        <v>4</v>
      </c>
      <c r="N23" s="3">
        <f t="shared" si="4"/>
        <v>1</v>
      </c>
    </row>
    <row r="24" spans="1:14">
      <c r="A24" s="2">
        <v>23</v>
      </c>
      <c r="B24" s="3" t="s">
        <v>58</v>
      </c>
      <c r="C24" s="3" t="s">
        <v>59</v>
      </c>
      <c r="D24" s="2">
        <v>33</v>
      </c>
      <c r="E24" s="2">
        <v>90</v>
      </c>
      <c r="F24" s="2">
        <v>84</v>
      </c>
      <c r="G24" s="2">
        <v>54</v>
      </c>
      <c r="H24" s="2">
        <v>52</v>
      </c>
      <c r="I24" s="2">
        <f t="shared" si="0"/>
        <v>313</v>
      </c>
      <c r="J24" s="2">
        <f t="shared" si="1"/>
        <v>62.6</v>
      </c>
      <c r="K24" s="2" t="str">
        <f t="shared" si="5"/>
        <v>B+</v>
      </c>
      <c r="L24" s="2">
        <f t="shared" si="2"/>
        <v>20</v>
      </c>
      <c r="M24" s="3">
        <f t="shared" si="3"/>
        <v>4</v>
      </c>
      <c r="N24" s="3">
        <f t="shared" si="4"/>
        <v>0</v>
      </c>
    </row>
    <row r="25" spans="1:14">
      <c r="A25" s="2">
        <v>24</v>
      </c>
      <c r="B25" s="3" t="s">
        <v>60</v>
      </c>
      <c r="C25" s="3" t="s">
        <v>61</v>
      </c>
      <c r="D25" s="2">
        <v>81</v>
      </c>
      <c r="E25" s="2">
        <v>70</v>
      </c>
      <c r="F25" s="2">
        <v>75</v>
      </c>
      <c r="G25" s="2">
        <v>98</v>
      </c>
      <c r="H25" s="2">
        <v>65</v>
      </c>
      <c r="I25" s="2">
        <f t="shared" si="0"/>
        <v>389</v>
      </c>
      <c r="J25" s="2">
        <f t="shared" si="1"/>
        <v>77.8</v>
      </c>
      <c r="K25" s="2" t="str">
        <f t="shared" si="5"/>
        <v>A</v>
      </c>
      <c r="L25" s="2">
        <f t="shared" si="2"/>
        <v>11</v>
      </c>
      <c r="M25" s="3">
        <f t="shared" si="3"/>
        <v>5</v>
      </c>
      <c r="N25" s="3">
        <f t="shared" si="4"/>
        <v>0</v>
      </c>
    </row>
    <row r="26" spans="1:14">
      <c r="A26" s="2">
        <v>25</v>
      </c>
      <c r="B26" s="3" t="s">
        <v>62</v>
      </c>
      <c r="C26" s="3" t="s">
        <v>63</v>
      </c>
      <c r="D26" s="2">
        <v>99</v>
      </c>
      <c r="E26" s="2">
        <v>8</v>
      </c>
      <c r="F26" s="2">
        <v>25</v>
      </c>
      <c r="G26" s="2">
        <v>27</v>
      </c>
      <c r="H26" s="2">
        <v>56</v>
      </c>
      <c r="I26" s="2">
        <f t="shared" si="0"/>
        <v>215</v>
      </c>
      <c r="J26" s="2">
        <f t="shared" si="1"/>
        <v>43</v>
      </c>
      <c r="K26" s="2" t="str">
        <f t="shared" si="5"/>
        <v>RA</v>
      </c>
      <c r="L26" s="2">
        <f t="shared" si="2"/>
        <v>1</v>
      </c>
      <c r="M26" s="3">
        <f t="shared" si="3"/>
        <v>2</v>
      </c>
      <c r="N26" s="3">
        <f t="shared" si="4"/>
        <v>3</v>
      </c>
    </row>
    <row r="28" spans="1:14"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J28" s="3" t="s">
        <v>64</v>
      </c>
      <c r="K28" s="3"/>
      <c r="L28" s="3">
        <f>COUNTIF(N2:N26, "5")</f>
        <v>0</v>
      </c>
    </row>
    <row r="29" spans="1:14">
      <c r="C29" s="3" t="s">
        <v>12</v>
      </c>
      <c r="D29" s="3">
        <f>COUNTIF(D1:D25, "&gt;=50")</f>
        <v>17</v>
      </c>
      <c r="E29" s="3">
        <f>COUNTIF(E1:E25, "&gt;=50")</f>
        <v>11</v>
      </c>
      <c r="F29" s="3">
        <f>COUNTIF(F1:F25, "&gt;=50")</f>
        <v>16</v>
      </c>
      <c r="G29" s="3">
        <f>COUNTIF(G1:G25, "&gt;=50")</f>
        <v>15</v>
      </c>
      <c r="H29" s="3">
        <f>COUNTIF(H1:H25, "&gt;=50")</f>
        <v>14</v>
      </c>
      <c r="J29" s="3" t="s">
        <v>65</v>
      </c>
      <c r="K29" s="3"/>
      <c r="L29" s="3">
        <f>COUNTIF(N3:N27, "4")</f>
        <v>2</v>
      </c>
    </row>
    <row r="30" spans="1:14">
      <c r="C30" s="3" t="s">
        <v>13</v>
      </c>
      <c r="D30" s="3">
        <f>COUNTIF(D2:D26, "&lt;50")</f>
        <v>7</v>
      </c>
      <c r="E30" s="3">
        <f>COUNTIF(E2:E26, "&lt;50")</f>
        <v>14</v>
      </c>
      <c r="F30" s="3">
        <f>COUNTIF(F2:F26, "&lt;50")</f>
        <v>9</v>
      </c>
      <c r="G30" s="3">
        <f>COUNTIF(G2:G26, "&lt;50")</f>
        <v>10</v>
      </c>
      <c r="H30" s="3">
        <f>COUNTIF(H2:H26, "&lt;50")</f>
        <v>10</v>
      </c>
      <c r="J30" s="3" t="s">
        <v>66</v>
      </c>
      <c r="K30" s="3"/>
      <c r="L30" s="3">
        <f>COUNTIF(N4:N28, "3")</f>
        <v>4</v>
      </c>
    </row>
    <row r="31" spans="1:14">
      <c r="J31" s="3" t="s">
        <v>67</v>
      </c>
      <c r="K31" s="3"/>
      <c r="L31" s="3">
        <f>COUNTIF(N5:N29, "2")</f>
        <v>10</v>
      </c>
    </row>
    <row r="32" spans="1:14">
      <c r="J32" s="3" t="s">
        <v>68</v>
      </c>
      <c r="K32" s="3"/>
      <c r="L32" s="3">
        <f>COUNTIF(N6:N30, "1")</f>
        <v>1</v>
      </c>
    </row>
    <row r="33" spans="10:12">
      <c r="J33" s="3" t="s">
        <v>69</v>
      </c>
      <c r="K33" s="3"/>
      <c r="L33" s="3">
        <f>COUNTIF(N7:N31, "0")</f>
        <v>5</v>
      </c>
    </row>
  </sheetData>
  <conditionalFormatting sqref="D2:H26">
    <cfRule type="cellIs" dxfId="3" priority="1" operator="lessThan">
      <formula>50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>
      <selection sqref="A1:N1"/>
    </sheetView>
  </sheetViews>
  <sheetFormatPr defaultRowHeight="15"/>
  <cols>
    <col min="1" max="1" width="5.140625" bestFit="1" customWidth="1"/>
    <col min="2" max="2" width="12.140625" bestFit="1" customWidth="1"/>
    <col min="3" max="3" width="22.28515625" bestFit="1" customWidth="1"/>
    <col min="4" max="4" width="7.28515625" bestFit="1" customWidth="1"/>
    <col min="5" max="5" width="6.5703125" bestFit="1" customWidth="1"/>
    <col min="6" max="6" width="7.42578125" bestFit="1" customWidth="1"/>
    <col min="7" max="7" width="10" bestFit="1" customWidth="1"/>
    <col min="8" max="8" width="3.140625" bestFit="1" customWidth="1"/>
    <col min="9" max="9" width="5.42578125" bestFit="1" customWidth="1"/>
    <col min="10" max="10" width="8.28515625" bestFit="1" customWidth="1"/>
    <col min="11" max="11" width="6.42578125" bestFit="1" customWidth="1"/>
    <col min="12" max="12" width="5.28515625" bestFit="1" customWidth="1"/>
    <col min="13" max="13" width="7.140625" bestFit="1" customWidth="1"/>
    <col min="14" max="14" width="6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25</v>
      </c>
      <c r="B2" s="3" t="s">
        <v>62</v>
      </c>
      <c r="C2" s="3" t="s">
        <v>63</v>
      </c>
      <c r="D2" s="2">
        <v>99</v>
      </c>
      <c r="E2" s="2">
        <v>8</v>
      </c>
      <c r="F2" s="2">
        <v>25</v>
      </c>
      <c r="G2" s="2">
        <v>27</v>
      </c>
      <c r="H2" s="2">
        <v>56</v>
      </c>
      <c r="I2" s="2">
        <f>SUM(D2:H2)</f>
        <v>215</v>
      </c>
      <c r="J2" s="2">
        <f>AVERAGE(D2:H2)</f>
        <v>43</v>
      </c>
      <c r="K2" s="2" t="str">
        <f>IF(J2&gt;90,"O",IF(J2&gt;80,"A+",IF(J2&gt;70,"A",IF(J2&gt;60,"B+",IF(J2&gt;=50,"B","RA")))))</f>
        <v>RA</v>
      </c>
      <c r="L2" s="2">
        <f>RANK(D2,$D$2:$D$26)</f>
        <v>1</v>
      </c>
      <c r="M2" s="3">
        <f>COUNTIF(D2:H2, "&gt;=50")</f>
        <v>2</v>
      </c>
      <c r="N2" s="3">
        <f>COUNTIF(E2:I2, "&lt;50")</f>
        <v>3</v>
      </c>
    </row>
    <row r="3" spans="1:14">
      <c r="A3" s="2">
        <v>18</v>
      </c>
      <c r="B3" s="3" t="s">
        <v>48</v>
      </c>
      <c r="C3" s="3" t="s">
        <v>49</v>
      </c>
      <c r="D3" s="2">
        <v>98</v>
      </c>
      <c r="E3" s="2">
        <v>44</v>
      </c>
      <c r="F3" s="2">
        <v>14</v>
      </c>
      <c r="G3" s="2">
        <v>66</v>
      </c>
      <c r="H3" s="2">
        <v>59</v>
      </c>
      <c r="I3" s="2">
        <f>SUM(D3:H3)</f>
        <v>281</v>
      </c>
      <c r="J3" s="2">
        <f>AVERAGE(D3:H3)</f>
        <v>56.2</v>
      </c>
      <c r="K3" s="2" t="str">
        <f>IF(J3&gt;90,"O",IF(J3&gt;80,"A+",IF(J3&gt;70,"A",IF(J3&gt;60,"B+",IF(J3&gt;=50,"B","RA")))))</f>
        <v>B</v>
      </c>
      <c r="L3" s="2">
        <f>RANK(D3,$D$2:$D$26)</f>
        <v>2</v>
      </c>
      <c r="M3" s="3">
        <f>COUNTIF(D3:H3, "&gt;=50")</f>
        <v>3</v>
      </c>
      <c r="N3" s="3">
        <f>COUNTIF(E3:I3, "&lt;50")</f>
        <v>2</v>
      </c>
    </row>
    <row r="4" spans="1:14">
      <c r="A4" s="2">
        <v>16</v>
      </c>
      <c r="B4" s="3" t="s">
        <v>44</v>
      </c>
      <c r="C4" s="3" t="s">
        <v>45</v>
      </c>
      <c r="D4" s="2">
        <v>92</v>
      </c>
      <c r="E4" s="2">
        <v>2</v>
      </c>
      <c r="F4" s="2">
        <v>7</v>
      </c>
      <c r="G4" s="2">
        <v>33</v>
      </c>
      <c r="H4" s="2">
        <v>6</v>
      </c>
      <c r="I4" s="2">
        <f>SUM(D4:H4)</f>
        <v>140</v>
      </c>
      <c r="J4" s="2">
        <f>AVERAGE(D4:H4)</f>
        <v>28</v>
      </c>
      <c r="K4" s="2" t="str">
        <f>IF(J4&gt;90,"O",IF(J4&gt;80,"A+",IF(J4&gt;70,"A",IF(J4&gt;60,"B+",IF(J4&gt;=50,"B","RA")))))</f>
        <v>RA</v>
      </c>
      <c r="L4" s="2">
        <f>RANK(D4,$D$2:$D$26)</f>
        <v>3</v>
      </c>
      <c r="M4" s="3">
        <f>COUNTIF(D4:H4, "&gt;=50")</f>
        <v>1</v>
      </c>
      <c r="N4" s="3">
        <f>COUNTIF(E4:I4, "&lt;50")</f>
        <v>4</v>
      </c>
    </row>
    <row r="5" spans="1:14">
      <c r="A5" s="2">
        <v>7</v>
      </c>
      <c r="B5" s="3" t="s">
        <v>26</v>
      </c>
      <c r="C5" s="3" t="s">
        <v>27</v>
      </c>
      <c r="D5" s="2">
        <v>90</v>
      </c>
      <c r="E5" s="2">
        <v>71</v>
      </c>
      <c r="F5" s="2">
        <v>85</v>
      </c>
      <c r="G5" s="2">
        <v>55</v>
      </c>
      <c r="H5" s="2">
        <v>50</v>
      </c>
      <c r="I5" s="2">
        <f>SUM(D5:H5)</f>
        <v>351</v>
      </c>
      <c r="J5" s="2">
        <f>AVERAGE(D5:H5)</f>
        <v>70.2</v>
      </c>
      <c r="K5" s="2" t="str">
        <f>IF(J5&gt;90,"O",IF(J5&gt;80,"A+",IF(J5&gt;70,"A",IF(J5&gt;60,"B+",IF(J5&gt;=50,"B","RA")))))</f>
        <v>A</v>
      </c>
      <c r="L5" s="2">
        <f>RANK(D5,$D$2:$D$26)</f>
        <v>4</v>
      </c>
      <c r="M5" s="3">
        <f>COUNTIF(D5:H5, "&gt;=50")</f>
        <v>5</v>
      </c>
      <c r="N5" s="3">
        <f>COUNTIF(E5:I5, "&lt;50")</f>
        <v>0</v>
      </c>
    </row>
    <row r="6" spans="1:14">
      <c r="A6" s="2">
        <v>13</v>
      </c>
      <c r="B6" s="3" t="s">
        <v>38</v>
      </c>
      <c r="C6" s="3" t="s">
        <v>39</v>
      </c>
      <c r="D6" s="2">
        <v>90</v>
      </c>
      <c r="E6" s="2">
        <v>49</v>
      </c>
      <c r="F6" s="2">
        <v>10</v>
      </c>
      <c r="G6" s="2">
        <v>54</v>
      </c>
      <c r="H6" s="2">
        <v>17</v>
      </c>
      <c r="I6" s="2">
        <f>SUM(D6:H6)</f>
        <v>220</v>
      </c>
      <c r="J6" s="2">
        <f>AVERAGE(D6:H6)</f>
        <v>44</v>
      </c>
      <c r="K6" s="2" t="str">
        <f>IF(J6&gt;90,"O",IF(J6&gt;80,"A+",IF(J6&gt;70,"A",IF(J6&gt;60,"B+",IF(J6&gt;=50,"B","RA")))))</f>
        <v>RA</v>
      </c>
      <c r="L6" s="2">
        <f>RANK(D6,$D$2:$D$26)</f>
        <v>4</v>
      </c>
      <c r="M6" s="3">
        <f>COUNTIF(D6:H6, "&gt;=50")</f>
        <v>2</v>
      </c>
      <c r="N6" s="3">
        <f>COUNTIF(E6:I6, "&lt;50")</f>
        <v>3</v>
      </c>
    </row>
    <row r="7" spans="1:14">
      <c r="A7" s="2">
        <v>22</v>
      </c>
      <c r="B7" s="3" t="s">
        <v>56</v>
      </c>
      <c r="C7" s="3" t="s">
        <v>57</v>
      </c>
      <c r="D7" s="2">
        <v>89</v>
      </c>
      <c r="E7" s="2">
        <v>89</v>
      </c>
      <c r="F7" s="2">
        <v>55</v>
      </c>
      <c r="G7" s="2">
        <v>52</v>
      </c>
      <c r="H7" s="2">
        <v>37</v>
      </c>
      <c r="I7" s="2">
        <f>SUM(D7:H7)</f>
        <v>322</v>
      </c>
      <c r="J7" s="2">
        <f>AVERAGE(D7:H7)</f>
        <v>64.400000000000006</v>
      </c>
      <c r="K7" s="2" t="str">
        <f>IF(J7&gt;90,"O",IF(J7&gt;80,"A+",IF(J7&gt;70,"A",IF(J7&gt;60,"B+",IF(J7&gt;=50,"B","RA")))))</f>
        <v>B+</v>
      </c>
      <c r="L7" s="2">
        <f>RANK(D7,$D$2:$D$26)</f>
        <v>6</v>
      </c>
      <c r="M7" s="3">
        <f>COUNTIF(D7:H7, "&gt;=50")</f>
        <v>4</v>
      </c>
      <c r="N7" s="3">
        <f>COUNTIF(E7:I7, "&lt;50")</f>
        <v>1</v>
      </c>
    </row>
    <row r="8" spans="1:14">
      <c r="A8" s="2">
        <v>6</v>
      </c>
      <c r="B8" s="3" t="s">
        <v>24</v>
      </c>
      <c r="C8" s="3" t="s">
        <v>25</v>
      </c>
      <c r="D8" s="2">
        <v>88</v>
      </c>
      <c r="E8" s="2">
        <v>50</v>
      </c>
      <c r="F8" s="2">
        <v>9</v>
      </c>
      <c r="G8" s="2">
        <v>16</v>
      </c>
      <c r="H8" s="2">
        <v>59</v>
      </c>
      <c r="I8" s="2">
        <f>SUM(D8:H8)</f>
        <v>222</v>
      </c>
      <c r="J8" s="2">
        <f>AVERAGE(D8:H8)</f>
        <v>44.4</v>
      </c>
      <c r="K8" s="2" t="str">
        <f>IF(J8&gt;90,"O",IF(J8&gt;80,"A+",IF(J8&gt;70,"A",IF(J8&gt;60,"B+",IF(J8&gt;=50,"B","RA")))))</f>
        <v>RA</v>
      </c>
      <c r="L8" s="2">
        <f>RANK(D8,$D$2:$D$26)</f>
        <v>7</v>
      </c>
      <c r="M8" s="3">
        <f>COUNTIF(D8:H8, "&gt;=50")</f>
        <v>3</v>
      </c>
      <c r="N8" s="3">
        <f>COUNTIF(E8:I8, "&lt;50")</f>
        <v>2</v>
      </c>
    </row>
    <row r="9" spans="1:14">
      <c r="A9" s="2">
        <v>10</v>
      </c>
      <c r="B9" s="3" t="s">
        <v>32</v>
      </c>
      <c r="C9" s="3" t="s">
        <v>33</v>
      </c>
      <c r="D9" s="2">
        <v>87</v>
      </c>
      <c r="E9" s="2">
        <v>40</v>
      </c>
      <c r="F9" s="2">
        <v>43</v>
      </c>
      <c r="G9" s="2">
        <v>100</v>
      </c>
      <c r="H9" s="2">
        <v>60</v>
      </c>
      <c r="I9" s="2">
        <f>SUM(D9:H9)</f>
        <v>330</v>
      </c>
      <c r="J9" s="2">
        <f>AVERAGE(D9:H9)</f>
        <v>66</v>
      </c>
      <c r="K9" s="2" t="str">
        <f>IF(J9&gt;90,"O",IF(J9&gt;80,"A+",IF(J9&gt;70,"A",IF(J9&gt;60,"B+",IF(J9&gt;=50,"B","RA")))))</f>
        <v>B+</v>
      </c>
      <c r="L9" s="2">
        <f>RANK(D9,$D$2:$D$26)</f>
        <v>8</v>
      </c>
      <c r="M9" s="3">
        <f>COUNTIF(D9:H9, "&gt;=50")</f>
        <v>3</v>
      </c>
      <c r="N9" s="3">
        <f>COUNTIF(E9:I9, "&lt;50")</f>
        <v>2</v>
      </c>
    </row>
    <row r="10" spans="1:14">
      <c r="A10" s="2">
        <v>17</v>
      </c>
      <c r="B10" s="3" t="s">
        <v>46</v>
      </c>
      <c r="C10" s="3" t="s">
        <v>47</v>
      </c>
      <c r="D10" s="2">
        <v>82</v>
      </c>
      <c r="E10" s="2">
        <v>51</v>
      </c>
      <c r="F10" s="2">
        <v>63</v>
      </c>
      <c r="G10" s="2">
        <v>71</v>
      </c>
      <c r="H10" s="2">
        <v>89</v>
      </c>
      <c r="I10" s="2">
        <f>SUM(D10:H10)</f>
        <v>356</v>
      </c>
      <c r="J10" s="2">
        <f>AVERAGE(D10:H10)</f>
        <v>71.2</v>
      </c>
      <c r="K10" s="2" t="str">
        <f>IF(J10&gt;90,"O",IF(J10&gt;80,"A+",IF(J10&gt;70,"A",IF(J10&gt;60,"B+",IF(J10&gt;=50,"B","RA")))))</f>
        <v>A</v>
      </c>
      <c r="L10" s="2">
        <f>RANK(D10,$D$2:$D$26)</f>
        <v>9</v>
      </c>
      <c r="M10" s="3">
        <f>COUNTIF(D10:H10, "&gt;=50")</f>
        <v>5</v>
      </c>
      <c r="N10" s="3">
        <f>COUNTIF(E10:I10, "&lt;50")</f>
        <v>0</v>
      </c>
    </row>
    <row r="11" spans="1:14">
      <c r="A11" s="2">
        <v>21</v>
      </c>
      <c r="B11" s="3" t="s">
        <v>54</v>
      </c>
      <c r="C11" s="3" t="s">
        <v>55</v>
      </c>
      <c r="D11" s="2">
        <v>82</v>
      </c>
      <c r="E11" s="2">
        <v>95</v>
      </c>
      <c r="F11" s="2">
        <v>12</v>
      </c>
      <c r="G11" s="2">
        <v>100</v>
      </c>
      <c r="H11" s="2">
        <v>3</v>
      </c>
      <c r="I11" s="2">
        <f>SUM(D11:H11)</f>
        <v>292</v>
      </c>
      <c r="J11" s="2">
        <f>AVERAGE(D11:H11)</f>
        <v>58.4</v>
      </c>
      <c r="K11" s="2" t="str">
        <f>IF(J11&gt;90,"O",IF(J11&gt;80,"A+",IF(J11&gt;70,"A",IF(J11&gt;60,"B+",IF(J11&gt;=50,"B","RA")))))</f>
        <v>B</v>
      </c>
      <c r="L11" s="2">
        <f>RANK(D11,$D$2:$D$26)</f>
        <v>9</v>
      </c>
      <c r="M11" s="3">
        <f>COUNTIF(D11:H11, "&gt;=50")</f>
        <v>3</v>
      </c>
      <c r="N11" s="3">
        <f>COUNTIF(E11:I11, "&lt;50")</f>
        <v>2</v>
      </c>
    </row>
    <row r="12" spans="1:14">
      <c r="A12" s="2">
        <v>24</v>
      </c>
      <c r="B12" s="3" t="s">
        <v>60</v>
      </c>
      <c r="C12" s="3" t="s">
        <v>61</v>
      </c>
      <c r="D12" s="2">
        <v>81</v>
      </c>
      <c r="E12" s="2">
        <v>70</v>
      </c>
      <c r="F12" s="2">
        <v>75</v>
      </c>
      <c r="G12" s="2">
        <v>98</v>
      </c>
      <c r="H12" s="2">
        <v>65</v>
      </c>
      <c r="I12" s="2">
        <f>SUM(D12:H12)</f>
        <v>389</v>
      </c>
      <c r="J12" s="2">
        <f>AVERAGE(D12:H12)</f>
        <v>77.8</v>
      </c>
      <c r="K12" s="2" t="str">
        <f>IF(J12&gt;90,"O",IF(J12&gt;80,"A+",IF(J12&gt;70,"A",IF(J12&gt;60,"B+",IF(J12&gt;=50,"B","RA")))))</f>
        <v>A</v>
      </c>
      <c r="L12" s="2">
        <f>RANK(D12,$D$2:$D$26)</f>
        <v>11</v>
      </c>
      <c r="M12" s="3">
        <f>COUNTIF(D12:H12, "&gt;=50")</f>
        <v>5</v>
      </c>
      <c r="N12" s="3">
        <f>COUNTIF(E12:I12, "&lt;50")</f>
        <v>0</v>
      </c>
    </row>
    <row r="13" spans="1:14">
      <c r="A13" s="2">
        <v>3</v>
      </c>
      <c r="B13" s="3" t="s">
        <v>18</v>
      </c>
      <c r="C13" s="3" t="s">
        <v>19</v>
      </c>
      <c r="D13" s="2">
        <v>80</v>
      </c>
      <c r="E13" s="2">
        <v>39</v>
      </c>
      <c r="F13" s="2">
        <v>55</v>
      </c>
      <c r="G13" s="2">
        <v>73</v>
      </c>
      <c r="H13" s="2">
        <v>46</v>
      </c>
      <c r="I13" s="2">
        <f>SUM(D13:H13)</f>
        <v>293</v>
      </c>
      <c r="J13" s="2">
        <f>AVERAGE(D13:H13)</f>
        <v>58.6</v>
      </c>
      <c r="K13" s="2" t="str">
        <f>IF(J13&gt;90,"O",IF(J13&gt;80,"A+",IF(J13&gt;70,"A",IF(J13&gt;60,"B+",IF(J13&gt;=50,"B","RA")))))</f>
        <v>B</v>
      </c>
      <c r="L13" s="2">
        <f>RANK(D13,$D$2:$D$26)</f>
        <v>12</v>
      </c>
      <c r="M13" s="3">
        <f>COUNTIF(D13:H13, "&gt;=50")</f>
        <v>3</v>
      </c>
      <c r="N13" s="3">
        <f>COUNTIF(E13:I13, "&lt;50")</f>
        <v>2</v>
      </c>
    </row>
    <row r="14" spans="1:14">
      <c r="A14" s="2">
        <v>9</v>
      </c>
      <c r="B14" s="3" t="s">
        <v>30</v>
      </c>
      <c r="C14" s="3" t="s">
        <v>31</v>
      </c>
      <c r="D14" s="2">
        <v>80</v>
      </c>
      <c r="E14" s="2">
        <v>18</v>
      </c>
      <c r="F14" s="2">
        <v>61</v>
      </c>
      <c r="G14" s="2">
        <v>16</v>
      </c>
      <c r="H14" s="2">
        <v>64</v>
      </c>
      <c r="I14" s="2">
        <f>SUM(D14:H14)</f>
        <v>239</v>
      </c>
      <c r="J14" s="2">
        <f>AVERAGE(D14:H14)</f>
        <v>47.8</v>
      </c>
      <c r="K14" s="2" t="str">
        <f>IF(J14&gt;90,"O",IF(J14&gt;80,"A+",IF(J14&gt;70,"A",IF(J14&gt;60,"B+",IF(J14&gt;=50,"B","RA")))))</f>
        <v>RA</v>
      </c>
      <c r="L14" s="2">
        <f>RANK(D14,$D$2:$D$26)</f>
        <v>12</v>
      </c>
      <c r="M14" s="3">
        <f>COUNTIF(D14:H14, "&gt;=50")</f>
        <v>3</v>
      </c>
      <c r="N14" s="3">
        <f>COUNTIF(E14:I14, "&lt;50")</f>
        <v>2</v>
      </c>
    </row>
    <row r="15" spans="1:14">
      <c r="A15" s="2">
        <v>20</v>
      </c>
      <c r="B15" s="3" t="s">
        <v>52</v>
      </c>
      <c r="C15" s="3" t="s">
        <v>53</v>
      </c>
      <c r="D15" s="2">
        <v>60</v>
      </c>
      <c r="E15" s="2">
        <v>37</v>
      </c>
      <c r="F15" s="2">
        <v>94</v>
      </c>
      <c r="G15" s="2">
        <v>37</v>
      </c>
      <c r="H15" s="2">
        <v>99</v>
      </c>
      <c r="I15" s="2">
        <f>SUM(D15:H15)</f>
        <v>327</v>
      </c>
      <c r="J15" s="2">
        <f>AVERAGE(D15:H15)</f>
        <v>65.400000000000006</v>
      </c>
      <c r="K15" s="2" t="str">
        <f>IF(J15&gt;90,"O",IF(J15&gt;80,"A+",IF(J15&gt;70,"A",IF(J15&gt;60,"B+",IF(J15&gt;=50,"B","RA")))))</f>
        <v>B+</v>
      </c>
      <c r="L15" s="2">
        <f>RANK(D15,$D$2:$D$26)</f>
        <v>14</v>
      </c>
      <c r="M15" s="3">
        <f>COUNTIF(D15:H15, "&gt;=50")</f>
        <v>3</v>
      </c>
      <c r="N15" s="3">
        <f>COUNTIF(E15:I15, "&lt;50")</f>
        <v>2</v>
      </c>
    </row>
    <row r="16" spans="1:14">
      <c r="A16" s="2">
        <v>4</v>
      </c>
      <c r="B16" s="3" t="s">
        <v>20</v>
      </c>
      <c r="C16" s="3" t="s">
        <v>21</v>
      </c>
      <c r="D16" s="2">
        <v>57</v>
      </c>
      <c r="E16" s="2">
        <v>49</v>
      </c>
      <c r="F16" s="2">
        <v>82</v>
      </c>
      <c r="G16" s="2">
        <v>31</v>
      </c>
      <c r="H16" s="2">
        <v>52</v>
      </c>
      <c r="I16" s="2">
        <f>SUM(D16:H16)</f>
        <v>271</v>
      </c>
      <c r="J16" s="2">
        <f>AVERAGE(D16:H16)</f>
        <v>54.2</v>
      </c>
      <c r="K16" s="2" t="str">
        <f>IF(J16&gt;90,"O",IF(J16&gt;80,"A+",IF(J16&gt;70,"A",IF(J16&gt;60,"B+",IF(J16&gt;=50,"B","RA")))))</f>
        <v>B</v>
      </c>
      <c r="L16" s="2">
        <f>RANK(D16,$D$2:$D$26)</f>
        <v>15</v>
      </c>
      <c r="M16" s="3">
        <f>COUNTIF(D16:H16, "&gt;=50")</f>
        <v>3</v>
      </c>
      <c r="N16" s="3">
        <f>COUNTIF(E16:I16, "&lt;50")</f>
        <v>2</v>
      </c>
    </row>
    <row r="17" spans="1:14">
      <c r="A17" s="2">
        <v>1</v>
      </c>
      <c r="B17" s="3" t="s">
        <v>14</v>
      </c>
      <c r="C17" s="3" t="s">
        <v>15</v>
      </c>
      <c r="D17" s="2">
        <v>56</v>
      </c>
      <c r="E17" s="2">
        <v>56</v>
      </c>
      <c r="F17" s="2">
        <v>50</v>
      </c>
      <c r="G17" s="2">
        <v>57</v>
      </c>
      <c r="H17" s="2">
        <v>59</v>
      </c>
      <c r="I17" s="2">
        <f>SUM(D17:H17)</f>
        <v>278</v>
      </c>
      <c r="J17" s="2">
        <f>AVERAGE(D17:H17)</f>
        <v>55.6</v>
      </c>
      <c r="K17" s="2" t="str">
        <f>IF(J17&gt;90,"O",IF(J17&gt;80,"A+",IF(J17&gt;70,"A",IF(J17&gt;60,"B+",IF(J17&gt;=50,"B","RA")))))</f>
        <v>B</v>
      </c>
      <c r="L17" s="2">
        <f>RANK(D17,$D$2:$D$26)</f>
        <v>16</v>
      </c>
      <c r="M17" s="3">
        <f>COUNTIF(D17:H17, "&gt;=50")</f>
        <v>5</v>
      </c>
      <c r="N17" s="3">
        <f>COUNTIF(E17:I17, "&lt;50")</f>
        <v>0</v>
      </c>
    </row>
    <row r="18" spans="1:14">
      <c r="A18" s="2">
        <v>19</v>
      </c>
      <c r="B18" s="3" t="s">
        <v>50</v>
      </c>
      <c r="C18" s="3" t="s">
        <v>51</v>
      </c>
      <c r="D18" s="2">
        <v>56</v>
      </c>
      <c r="E18" s="2">
        <v>23</v>
      </c>
      <c r="F18" s="2">
        <v>61</v>
      </c>
      <c r="G18" s="2">
        <v>31</v>
      </c>
      <c r="H18" s="2">
        <v>3</v>
      </c>
      <c r="I18" s="2">
        <f>SUM(D18:H18)</f>
        <v>174</v>
      </c>
      <c r="J18" s="2">
        <f>AVERAGE(D18:H18)</f>
        <v>34.799999999999997</v>
      </c>
      <c r="K18" s="2" t="str">
        <f>IF(J18&gt;90,"O",IF(J18&gt;80,"A+",IF(J18&gt;70,"A",IF(J18&gt;60,"B+",IF(J18&gt;=50,"B","RA")))))</f>
        <v>RA</v>
      </c>
      <c r="L18" s="2">
        <f>RANK(D18,$D$2:$D$26)</f>
        <v>16</v>
      </c>
      <c r="M18" s="3">
        <f>COUNTIF(D18:H18, "&gt;=50")</f>
        <v>2</v>
      </c>
      <c r="N18" s="3">
        <f>COUNTIF(E18:I18, "&lt;50")</f>
        <v>3</v>
      </c>
    </row>
    <row r="19" spans="1:14">
      <c r="A19" s="2">
        <v>11</v>
      </c>
      <c r="B19" s="3" t="s">
        <v>34</v>
      </c>
      <c r="C19" s="3" t="s">
        <v>35</v>
      </c>
      <c r="D19" s="2">
        <v>55</v>
      </c>
      <c r="E19" s="2">
        <v>75</v>
      </c>
      <c r="F19" s="2">
        <v>70</v>
      </c>
      <c r="G19" s="2">
        <v>99</v>
      </c>
      <c r="H19" s="2">
        <v>79</v>
      </c>
      <c r="I19" s="2">
        <f>SUM(D19:H19)</f>
        <v>378</v>
      </c>
      <c r="J19" s="2">
        <f>AVERAGE(D19:H19)</f>
        <v>75.599999999999994</v>
      </c>
      <c r="K19" s="2" t="str">
        <f>IF(J19&gt;90,"O",IF(J19&gt;80,"A+",IF(J19&gt;70,"A",IF(J19&gt;60,"B+",IF(J19&gt;=50,"B","RA")))))</f>
        <v>A</v>
      </c>
      <c r="L19" s="2">
        <f>RANK(D19,$D$2:$D$26)</f>
        <v>18</v>
      </c>
      <c r="M19" s="3">
        <f>COUNTIF(D19:H19, "&gt;=50")</f>
        <v>5</v>
      </c>
      <c r="N19" s="3">
        <f>COUNTIF(E19:I19, "&lt;50")</f>
        <v>0</v>
      </c>
    </row>
    <row r="20" spans="1:14">
      <c r="A20" s="2">
        <v>2</v>
      </c>
      <c r="B20" s="3" t="s">
        <v>16</v>
      </c>
      <c r="C20" s="3" t="s">
        <v>17</v>
      </c>
      <c r="D20" s="2">
        <v>49</v>
      </c>
      <c r="E20" s="2">
        <v>88</v>
      </c>
      <c r="F20" s="2">
        <v>100</v>
      </c>
      <c r="G20" s="2">
        <v>53</v>
      </c>
      <c r="H20" s="2">
        <v>79</v>
      </c>
      <c r="I20" s="2">
        <f>SUM(D20:H20)</f>
        <v>369</v>
      </c>
      <c r="J20" s="2">
        <f>AVERAGE(D20:H20)</f>
        <v>73.8</v>
      </c>
      <c r="K20" s="2" t="str">
        <f>IF(J20&gt;90,"O",IF(J20&gt;80,"A+",IF(J20&gt;70,"A",IF(J20&gt;60,"B+",IF(J20&gt;=50,"B","RA")))))</f>
        <v>A</v>
      </c>
      <c r="L20" s="2">
        <f>RANK(D20,$D$2:$D$26)</f>
        <v>19</v>
      </c>
      <c r="M20" s="3">
        <f>COUNTIF(D20:H20, "&gt;=50")</f>
        <v>4</v>
      </c>
      <c r="N20" s="3">
        <f>COUNTIF(E20:I20, "&lt;50")</f>
        <v>0</v>
      </c>
    </row>
    <row r="21" spans="1:14">
      <c r="A21" s="2">
        <v>23</v>
      </c>
      <c r="B21" s="3" t="s">
        <v>58</v>
      </c>
      <c r="C21" s="3" t="s">
        <v>59</v>
      </c>
      <c r="D21" s="2">
        <v>33</v>
      </c>
      <c r="E21" s="2">
        <v>90</v>
      </c>
      <c r="F21" s="2">
        <v>84</v>
      </c>
      <c r="G21" s="2">
        <v>54</v>
      </c>
      <c r="H21" s="2">
        <v>52</v>
      </c>
      <c r="I21" s="2">
        <f>SUM(D21:H21)</f>
        <v>313</v>
      </c>
      <c r="J21" s="2">
        <f>AVERAGE(D21:H21)</f>
        <v>62.6</v>
      </c>
      <c r="K21" s="2" t="str">
        <f>IF(J21&gt;90,"O",IF(J21&gt;80,"A+",IF(J21&gt;70,"A",IF(J21&gt;60,"B+",IF(J21&gt;=50,"B","RA")))))</f>
        <v>B+</v>
      </c>
      <c r="L21" s="2">
        <f>RANK(D21,$D$2:$D$26)</f>
        <v>20</v>
      </c>
      <c r="M21" s="3">
        <f>COUNTIF(D21:H21, "&gt;=50")</f>
        <v>4</v>
      </c>
      <c r="N21" s="3">
        <f>COUNTIF(E21:I21, "&lt;50")</f>
        <v>0</v>
      </c>
    </row>
    <row r="22" spans="1:14">
      <c r="A22" s="2">
        <v>8</v>
      </c>
      <c r="B22" s="3" t="s">
        <v>28</v>
      </c>
      <c r="C22" s="3" t="s">
        <v>29</v>
      </c>
      <c r="D22" s="2">
        <v>26</v>
      </c>
      <c r="E22" s="2">
        <v>46</v>
      </c>
      <c r="F22" s="2">
        <v>16</v>
      </c>
      <c r="G22" s="2">
        <v>69</v>
      </c>
      <c r="H22" s="2">
        <v>22</v>
      </c>
      <c r="I22" s="2">
        <f>SUM(D22:H22)</f>
        <v>179</v>
      </c>
      <c r="J22" s="2">
        <f>AVERAGE(D22:H22)</f>
        <v>35.799999999999997</v>
      </c>
      <c r="K22" s="2" t="str">
        <f>IF(J22&gt;90,"O",IF(J22&gt;80,"A+",IF(J22&gt;70,"A",IF(J22&gt;60,"B+",IF(J22&gt;=50,"B","RA")))))</f>
        <v>RA</v>
      </c>
      <c r="L22" s="2">
        <f>RANK(D22,$D$2:$D$26)</f>
        <v>21</v>
      </c>
      <c r="M22" s="3">
        <f>COUNTIF(D22:H22, "&gt;=50")</f>
        <v>1</v>
      </c>
      <c r="N22" s="3">
        <f>COUNTIF(E22:I22, "&lt;50")</f>
        <v>3</v>
      </c>
    </row>
    <row r="23" spans="1:14">
      <c r="A23" s="2">
        <v>12</v>
      </c>
      <c r="B23" s="3" t="s">
        <v>36</v>
      </c>
      <c r="C23" s="3" t="s">
        <v>37</v>
      </c>
      <c r="D23" s="2">
        <v>19</v>
      </c>
      <c r="E23" s="2">
        <v>11</v>
      </c>
      <c r="F23" s="2">
        <v>99</v>
      </c>
      <c r="G23" s="2">
        <v>65</v>
      </c>
      <c r="H23" s="2">
        <v>18</v>
      </c>
      <c r="I23" s="2">
        <f>SUM(D23:H23)</f>
        <v>212</v>
      </c>
      <c r="J23" s="2">
        <f>AVERAGE(D23:H23)</f>
        <v>42.4</v>
      </c>
      <c r="K23" s="2" t="str">
        <f>IF(J23&gt;90,"O",IF(J23&gt;80,"A+",IF(J23&gt;70,"A",IF(J23&gt;60,"B+",IF(J23&gt;=50,"B","RA")))))</f>
        <v>RA</v>
      </c>
      <c r="L23" s="2">
        <f>RANK(D23,$D$2:$D$26)</f>
        <v>22</v>
      </c>
      <c r="M23" s="3">
        <f>COUNTIF(D23:H23, "&gt;=50")</f>
        <v>2</v>
      </c>
      <c r="N23" s="3">
        <f>COUNTIF(E23:I23, "&lt;50")</f>
        <v>2</v>
      </c>
    </row>
    <row r="24" spans="1:14">
      <c r="A24" s="2">
        <v>5</v>
      </c>
      <c r="B24" s="3" t="s">
        <v>22</v>
      </c>
      <c r="C24" s="3" t="s">
        <v>23</v>
      </c>
      <c r="D24" s="2">
        <v>16</v>
      </c>
      <c r="E24" s="2">
        <v>47</v>
      </c>
      <c r="F24" s="2">
        <v>5</v>
      </c>
      <c r="G24" s="2">
        <v>25</v>
      </c>
      <c r="H24" s="2">
        <v>18</v>
      </c>
      <c r="I24" s="2">
        <f>SUM(D24:H24)</f>
        <v>111</v>
      </c>
      <c r="J24" s="2">
        <f>AVERAGE(D24:H24)</f>
        <v>22.2</v>
      </c>
      <c r="K24" s="2" t="str">
        <f>IF(J24&gt;90,"O",IF(J24&gt;80,"A+",IF(J24&gt;70,"A",IF(J24&gt;60,"B+",IF(J24&gt;=50,"B","RA")))))</f>
        <v>RA</v>
      </c>
      <c r="L24" s="2">
        <f>RANK(D24,$D$2:$D$26)</f>
        <v>23</v>
      </c>
      <c r="M24" s="3">
        <f>COUNTIF(D24:H24, "&gt;=50")</f>
        <v>0</v>
      </c>
      <c r="N24" s="3">
        <f>COUNTIF(E24:I24, "&lt;50")</f>
        <v>4</v>
      </c>
    </row>
    <row r="25" spans="1:14">
      <c r="A25" s="2">
        <v>15</v>
      </c>
      <c r="B25" s="3" t="s">
        <v>42</v>
      </c>
      <c r="C25" s="3" t="s">
        <v>43</v>
      </c>
      <c r="D25" s="2">
        <v>8</v>
      </c>
      <c r="E25" s="2">
        <v>77</v>
      </c>
      <c r="F25" s="2">
        <v>60</v>
      </c>
      <c r="G25" s="2">
        <v>25</v>
      </c>
      <c r="H25" s="2">
        <v>1</v>
      </c>
      <c r="I25" s="2">
        <f>SUM(D25:H25)</f>
        <v>171</v>
      </c>
      <c r="J25" s="2">
        <f>AVERAGE(D25:H25)</f>
        <v>34.200000000000003</v>
      </c>
      <c r="K25" s="2" t="str">
        <f>IF(J25&gt;90,"O",IF(J25&gt;80,"A+",IF(J25&gt;70,"A",IF(J25&gt;60,"B+",IF(J25&gt;=50,"B","RA")))))</f>
        <v>RA</v>
      </c>
      <c r="L25" s="2">
        <f>RANK(D25,$D$2:$D$26)</f>
        <v>24</v>
      </c>
      <c r="M25" s="3">
        <f>COUNTIF(D25:H25, "&gt;=50")</f>
        <v>2</v>
      </c>
      <c r="N25" s="3">
        <f>COUNTIF(E25:I25, "&lt;50")</f>
        <v>2</v>
      </c>
    </row>
    <row r="26" spans="1:14">
      <c r="A26" s="2">
        <v>14</v>
      </c>
      <c r="B26" s="3" t="s">
        <v>40</v>
      </c>
      <c r="C26" s="3" t="s">
        <v>41</v>
      </c>
      <c r="D26" s="2">
        <v>7</v>
      </c>
      <c r="E26" s="2">
        <v>11</v>
      </c>
      <c r="F26" s="2">
        <v>78</v>
      </c>
      <c r="G26" s="2">
        <v>14</v>
      </c>
      <c r="H26" s="2">
        <v>73</v>
      </c>
      <c r="I26" s="2">
        <f>SUM(D26:H26)</f>
        <v>183</v>
      </c>
      <c r="J26" s="2">
        <f>AVERAGE(D26:H26)</f>
        <v>36.6</v>
      </c>
      <c r="K26" s="2" t="str">
        <f>IF(J26&gt;90,"O",IF(J26&gt;80,"A+",IF(J26&gt;70,"A",IF(J26&gt;60,"B+",IF(J26&gt;=50,"B","RA")))))</f>
        <v>RA</v>
      </c>
      <c r="L26" s="2">
        <f>RANK(D26,$D$2:$D$26)</f>
        <v>25</v>
      </c>
      <c r="M26" s="3">
        <f>COUNTIF(D26:H26, "&gt;=50")</f>
        <v>2</v>
      </c>
      <c r="N26" s="3">
        <f>COUNTIF(E26:I26, "&lt;50")</f>
        <v>2</v>
      </c>
    </row>
  </sheetData>
  <sortState xmlns:xlrd2="http://schemas.microsoft.com/office/spreadsheetml/2017/richdata2" ref="A2:N26">
    <sortCondition ref="L1"/>
  </sortState>
  <conditionalFormatting sqref="D2:H26">
    <cfRule type="cellIs" dxfId="2" priority="1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56"/>
  <sheetViews>
    <sheetView workbookViewId="0">
      <selection activeCell="C32" sqref="C32:C56"/>
    </sheetView>
  </sheetViews>
  <sheetFormatPr defaultRowHeight="15"/>
  <sheetData>
    <row r="1" spans="1:14">
      <c r="A1" s="9" t="s">
        <v>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idden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idden="1">
      <c r="A4" s="2">
        <v>25</v>
      </c>
      <c r="B4" s="3" t="s">
        <v>62</v>
      </c>
      <c r="C4" s="3" t="s">
        <v>63</v>
      </c>
      <c r="D4" s="2">
        <v>99</v>
      </c>
      <c r="E4" s="2">
        <v>8</v>
      </c>
      <c r="F4" s="2">
        <v>25</v>
      </c>
      <c r="G4" s="2">
        <v>27</v>
      </c>
      <c r="H4" s="2">
        <v>56</v>
      </c>
      <c r="I4" s="2">
        <f>SUM(D4:H4)</f>
        <v>215</v>
      </c>
      <c r="J4" s="2">
        <f>AVERAGE(D4:H4)</f>
        <v>43</v>
      </c>
      <c r="K4" s="2" t="str">
        <f>IF(J4&gt;90,"O",IF(J4&gt;80,"A+",IF(J4&gt;70,"A",IF(J4&gt;60,"B+",IF(J4&gt;=50,"B","RA")))))</f>
        <v>RA</v>
      </c>
      <c r="L4" s="2">
        <f>RANK(D4,$D$3:$D$27)</f>
        <v>1</v>
      </c>
      <c r="M4" s="3">
        <f>COUNTIF(D4:H4, "&gt;=50")</f>
        <v>2</v>
      </c>
      <c r="N4" s="3">
        <f>COUNTIF(E4:I4, "&lt;50")</f>
        <v>3</v>
      </c>
    </row>
    <row r="5" spans="1:14" hidden="1">
      <c r="A5" s="2">
        <v>18</v>
      </c>
      <c r="B5" s="3" t="s">
        <v>48</v>
      </c>
      <c r="C5" s="3" t="s">
        <v>49</v>
      </c>
      <c r="D5" s="2">
        <v>98</v>
      </c>
      <c r="E5" s="2">
        <v>44</v>
      </c>
      <c r="F5" s="2">
        <v>14</v>
      </c>
      <c r="G5" s="2">
        <v>66</v>
      </c>
      <c r="H5" s="2">
        <v>59</v>
      </c>
      <c r="I5" s="2">
        <f>SUM(D5:H5)</f>
        <v>281</v>
      </c>
      <c r="J5" s="2">
        <f>AVERAGE(D5:H5)</f>
        <v>56.2</v>
      </c>
      <c r="K5" s="2" t="str">
        <f>IF(J5&gt;90,"O",IF(J5&gt;80,"A+",IF(J5&gt;70,"A",IF(J5&gt;60,"B+",IF(J5&gt;=50,"B","RA")))))</f>
        <v>B</v>
      </c>
      <c r="L5" s="2">
        <f>RANK(D5,$D$3:$D$27)</f>
        <v>2</v>
      </c>
      <c r="M5" s="3">
        <f>COUNTIF(D5:H5, "&gt;=50")</f>
        <v>3</v>
      </c>
      <c r="N5" s="3">
        <f>COUNTIF(E5:I5, "&lt;50")</f>
        <v>2</v>
      </c>
    </row>
    <row r="6" spans="1:14" hidden="1">
      <c r="A6" s="2">
        <v>16</v>
      </c>
      <c r="B6" s="3" t="s">
        <v>44</v>
      </c>
      <c r="C6" s="3" t="s">
        <v>45</v>
      </c>
      <c r="D6" s="2">
        <v>92</v>
      </c>
      <c r="E6" s="2">
        <v>2</v>
      </c>
      <c r="F6" s="2">
        <v>7</v>
      </c>
      <c r="G6" s="2">
        <v>33</v>
      </c>
      <c r="H6" s="2">
        <v>6</v>
      </c>
      <c r="I6" s="2">
        <f>SUM(D6:H6)</f>
        <v>140</v>
      </c>
      <c r="J6" s="2">
        <f>AVERAGE(D6:H6)</f>
        <v>28</v>
      </c>
      <c r="K6" s="2" t="str">
        <f>IF(J6&gt;90,"O",IF(J6&gt;80,"A+",IF(J6&gt;70,"A",IF(J6&gt;60,"B+",IF(J6&gt;=50,"B","RA")))))</f>
        <v>RA</v>
      </c>
      <c r="L6" s="2">
        <f>RANK(D6,$D$3:$D$27)</f>
        <v>3</v>
      </c>
      <c r="M6" s="3">
        <f>COUNTIF(D6:H6, "&gt;=50")</f>
        <v>1</v>
      </c>
      <c r="N6" s="3">
        <f>COUNTIF(E6:I6, "&lt;50")</f>
        <v>4</v>
      </c>
    </row>
    <row r="7" spans="1:14">
      <c r="A7" s="2">
        <v>7</v>
      </c>
      <c r="B7" s="3" t="s">
        <v>26</v>
      </c>
      <c r="C7" s="3" t="s">
        <v>27</v>
      </c>
      <c r="D7" s="2">
        <v>90</v>
      </c>
      <c r="E7" s="2">
        <v>71</v>
      </c>
      <c r="F7" s="2">
        <v>85</v>
      </c>
      <c r="G7" s="2">
        <v>55</v>
      </c>
      <c r="H7" s="2">
        <v>50</v>
      </c>
      <c r="I7" s="2">
        <f>SUM(D7:H7)</f>
        <v>351</v>
      </c>
      <c r="J7" s="2">
        <f>AVERAGE(D7:H7)</f>
        <v>70.2</v>
      </c>
      <c r="K7" s="2" t="str">
        <f>IF(J7&gt;90,"O",IF(J7&gt;80,"A+",IF(J7&gt;70,"A",IF(J7&gt;60,"B+",IF(J7&gt;=50,"B","RA")))))</f>
        <v>A</v>
      </c>
      <c r="L7" s="2">
        <f>RANK(D7,$D$3:$D$27)</f>
        <v>4</v>
      </c>
      <c r="M7" s="3">
        <f>COUNTIF(D7:H7, "&gt;=50")</f>
        <v>5</v>
      </c>
      <c r="N7" s="3">
        <f>COUNTIF(E7:I7, "&lt;50")</f>
        <v>0</v>
      </c>
    </row>
    <row r="8" spans="1:14" hidden="1">
      <c r="A8" s="2">
        <v>13</v>
      </c>
      <c r="B8" s="3" t="s">
        <v>38</v>
      </c>
      <c r="C8" s="3" t="s">
        <v>39</v>
      </c>
      <c r="D8" s="2">
        <v>90</v>
      </c>
      <c r="E8" s="2">
        <v>49</v>
      </c>
      <c r="F8" s="2">
        <v>10</v>
      </c>
      <c r="G8" s="2">
        <v>54</v>
      </c>
      <c r="H8" s="2">
        <v>17</v>
      </c>
      <c r="I8" s="2">
        <f>SUM(D8:H8)</f>
        <v>220</v>
      </c>
      <c r="J8" s="2">
        <f>AVERAGE(D8:H8)</f>
        <v>44</v>
      </c>
      <c r="K8" s="2" t="str">
        <f>IF(J8&gt;90,"O",IF(J8&gt;80,"A+",IF(J8&gt;70,"A",IF(J8&gt;60,"B+",IF(J8&gt;=50,"B","RA")))))</f>
        <v>RA</v>
      </c>
      <c r="L8" s="2">
        <f>RANK(D8,$D$3:$D$27)</f>
        <v>4</v>
      </c>
      <c r="M8" s="3">
        <f>COUNTIF(D8:H8, "&gt;=50")</f>
        <v>2</v>
      </c>
      <c r="N8" s="3">
        <f>COUNTIF(E8:I8, "&lt;50")</f>
        <v>3</v>
      </c>
    </row>
    <row r="9" spans="1:14" hidden="1">
      <c r="A9" s="2">
        <v>22</v>
      </c>
      <c r="B9" s="3" t="s">
        <v>56</v>
      </c>
      <c r="C9" s="3" t="s">
        <v>57</v>
      </c>
      <c r="D9" s="2">
        <v>89</v>
      </c>
      <c r="E9" s="2">
        <v>89</v>
      </c>
      <c r="F9" s="2">
        <v>55</v>
      </c>
      <c r="G9" s="2">
        <v>52</v>
      </c>
      <c r="H9" s="2">
        <v>37</v>
      </c>
      <c r="I9" s="2">
        <f>SUM(D9:H9)</f>
        <v>322</v>
      </c>
      <c r="J9" s="2">
        <f>AVERAGE(D9:H9)</f>
        <v>64.400000000000006</v>
      </c>
      <c r="K9" s="2" t="str">
        <f>IF(J9&gt;90,"O",IF(J9&gt;80,"A+",IF(J9&gt;70,"A",IF(J9&gt;60,"B+",IF(J9&gt;=50,"B","RA")))))</f>
        <v>B+</v>
      </c>
      <c r="L9" s="2">
        <f>RANK(D9,$D$3:$D$27)</f>
        <v>6</v>
      </c>
      <c r="M9" s="3">
        <f>COUNTIF(D9:H9, "&gt;=50")</f>
        <v>4</v>
      </c>
      <c r="N9" s="3">
        <f>COUNTIF(E9:I9, "&lt;50")</f>
        <v>1</v>
      </c>
    </row>
    <row r="10" spans="1:14" hidden="1">
      <c r="A10" s="2">
        <v>6</v>
      </c>
      <c r="B10" s="3" t="s">
        <v>24</v>
      </c>
      <c r="C10" s="3" t="s">
        <v>25</v>
      </c>
      <c r="D10" s="2">
        <v>88</v>
      </c>
      <c r="E10" s="2">
        <v>50</v>
      </c>
      <c r="F10" s="2">
        <v>9</v>
      </c>
      <c r="G10" s="2">
        <v>16</v>
      </c>
      <c r="H10" s="2">
        <v>59</v>
      </c>
      <c r="I10" s="2">
        <f>SUM(D10:H10)</f>
        <v>222</v>
      </c>
      <c r="J10" s="2">
        <f>AVERAGE(D10:H10)</f>
        <v>44.4</v>
      </c>
      <c r="K10" s="2" t="str">
        <f>IF(J10&gt;90,"O",IF(J10&gt;80,"A+",IF(J10&gt;70,"A",IF(J10&gt;60,"B+",IF(J10&gt;=50,"B","RA")))))</f>
        <v>RA</v>
      </c>
      <c r="L10" s="2">
        <f>RANK(D10,$D$3:$D$27)</f>
        <v>7</v>
      </c>
      <c r="M10" s="3">
        <f>COUNTIF(D10:H10, "&gt;=50")</f>
        <v>3</v>
      </c>
      <c r="N10" s="3">
        <f>COUNTIF(E10:I10, "&lt;50")</f>
        <v>2</v>
      </c>
    </row>
    <row r="11" spans="1:14" hidden="1">
      <c r="A11" s="2">
        <v>10</v>
      </c>
      <c r="B11" s="3" t="s">
        <v>32</v>
      </c>
      <c r="C11" s="3" t="s">
        <v>33</v>
      </c>
      <c r="D11" s="2">
        <v>87</v>
      </c>
      <c r="E11" s="2">
        <v>40</v>
      </c>
      <c r="F11" s="2">
        <v>43</v>
      </c>
      <c r="G11" s="2">
        <v>100</v>
      </c>
      <c r="H11" s="2">
        <v>60</v>
      </c>
      <c r="I11" s="2">
        <f>SUM(D11:H11)</f>
        <v>330</v>
      </c>
      <c r="J11" s="2">
        <f>AVERAGE(D11:H11)</f>
        <v>66</v>
      </c>
      <c r="K11" s="2" t="str">
        <f>IF(J11&gt;90,"O",IF(J11&gt;80,"A+",IF(J11&gt;70,"A",IF(J11&gt;60,"B+",IF(J11&gt;=50,"B","RA")))))</f>
        <v>B+</v>
      </c>
      <c r="L11" s="2">
        <f>RANK(D11,$D$3:$D$27)</f>
        <v>8</v>
      </c>
      <c r="M11" s="3">
        <f>COUNTIF(D11:H11, "&gt;=50")</f>
        <v>3</v>
      </c>
      <c r="N11" s="3">
        <f>COUNTIF(E11:I11, "&lt;50")</f>
        <v>2</v>
      </c>
    </row>
    <row r="12" spans="1:14">
      <c r="A12" s="2">
        <v>17</v>
      </c>
      <c r="B12" s="3" t="s">
        <v>46</v>
      </c>
      <c r="C12" s="3" t="s">
        <v>47</v>
      </c>
      <c r="D12" s="2">
        <v>82</v>
      </c>
      <c r="E12" s="2">
        <v>51</v>
      </c>
      <c r="F12" s="2">
        <v>63</v>
      </c>
      <c r="G12" s="2">
        <v>71</v>
      </c>
      <c r="H12" s="2">
        <v>89</v>
      </c>
      <c r="I12" s="2">
        <f>SUM(D12:H12)</f>
        <v>356</v>
      </c>
      <c r="J12" s="2">
        <f>AVERAGE(D12:H12)</f>
        <v>71.2</v>
      </c>
      <c r="K12" s="2" t="str">
        <f>IF(J12&gt;90,"O",IF(J12&gt;80,"A+",IF(J12&gt;70,"A",IF(J12&gt;60,"B+",IF(J12&gt;=50,"B","RA")))))</f>
        <v>A</v>
      </c>
      <c r="L12" s="2">
        <f>RANK(D12,$D$3:$D$27)</f>
        <v>9</v>
      </c>
      <c r="M12" s="3">
        <f>COUNTIF(D12:H12, "&gt;=50")</f>
        <v>5</v>
      </c>
      <c r="N12" s="3">
        <f>COUNTIF(E12:I12, "&lt;50")</f>
        <v>0</v>
      </c>
    </row>
    <row r="13" spans="1:14" hidden="1">
      <c r="A13" s="2">
        <v>21</v>
      </c>
      <c r="B13" s="3" t="s">
        <v>54</v>
      </c>
      <c r="C13" s="3" t="s">
        <v>55</v>
      </c>
      <c r="D13" s="2">
        <v>82</v>
      </c>
      <c r="E13" s="2">
        <v>95</v>
      </c>
      <c r="F13" s="2">
        <v>12</v>
      </c>
      <c r="G13" s="2">
        <v>100</v>
      </c>
      <c r="H13" s="2">
        <v>3</v>
      </c>
      <c r="I13" s="2">
        <f>SUM(D13:H13)</f>
        <v>292</v>
      </c>
      <c r="J13" s="2">
        <f>AVERAGE(D13:H13)</f>
        <v>58.4</v>
      </c>
      <c r="K13" s="2" t="str">
        <f>IF(J13&gt;90,"O",IF(J13&gt;80,"A+",IF(J13&gt;70,"A",IF(J13&gt;60,"B+",IF(J13&gt;=50,"B","RA")))))</f>
        <v>B</v>
      </c>
      <c r="L13" s="2">
        <f>RANK(D13,$D$3:$D$27)</f>
        <v>9</v>
      </c>
      <c r="M13" s="3">
        <f>COUNTIF(D13:H13, "&gt;=50")</f>
        <v>3</v>
      </c>
      <c r="N13" s="3">
        <f>COUNTIF(E13:I13, "&lt;50")</f>
        <v>2</v>
      </c>
    </row>
    <row r="14" spans="1:14">
      <c r="A14" s="2">
        <v>24</v>
      </c>
      <c r="B14" s="3" t="s">
        <v>60</v>
      </c>
      <c r="C14" s="3" t="s">
        <v>61</v>
      </c>
      <c r="D14" s="2">
        <v>81</v>
      </c>
      <c r="E14" s="2">
        <v>70</v>
      </c>
      <c r="F14" s="2">
        <v>75</v>
      </c>
      <c r="G14" s="2">
        <v>98</v>
      </c>
      <c r="H14" s="2">
        <v>65</v>
      </c>
      <c r="I14" s="2">
        <f>SUM(D14:H14)</f>
        <v>389</v>
      </c>
      <c r="J14" s="2">
        <f>AVERAGE(D14:H14)</f>
        <v>77.8</v>
      </c>
      <c r="K14" s="2" t="str">
        <f>IF(J14&gt;90,"O",IF(J14&gt;80,"A+",IF(J14&gt;70,"A",IF(J14&gt;60,"B+",IF(J14&gt;=50,"B","RA")))))</f>
        <v>A</v>
      </c>
      <c r="L14" s="2">
        <f>RANK(D14,$D$3:$D$27)</f>
        <v>11</v>
      </c>
      <c r="M14" s="3">
        <f>COUNTIF(D14:H14, "&gt;=50")</f>
        <v>5</v>
      </c>
      <c r="N14" s="3">
        <f>COUNTIF(E14:I14, "&lt;50")</f>
        <v>0</v>
      </c>
    </row>
    <row r="15" spans="1:14" hidden="1">
      <c r="A15" s="2">
        <v>3</v>
      </c>
      <c r="B15" s="3" t="s">
        <v>18</v>
      </c>
      <c r="C15" s="3" t="s">
        <v>19</v>
      </c>
      <c r="D15" s="2">
        <v>80</v>
      </c>
      <c r="E15" s="2">
        <v>39</v>
      </c>
      <c r="F15" s="2">
        <v>55</v>
      </c>
      <c r="G15" s="2">
        <v>73</v>
      </c>
      <c r="H15" s="2">
        <v>46</v>
      </c>
      <c r="I15" s="2">
        <f>SUM(D15:H15)</f>
        <v>293</v>
      </c>
      <c r="J15" s="2">
        <f>AVERAGE(D15:H15)</f>
        <v>58.6</v>
      </c>
      <c r="K15" s="2" t="str">
        <f>IF(J15&gt;90,"O",IF(J15&gt;80,"A+",IF(J15&gt;70,"A",IF(J15&gt;60,"B+",IF(J15&gt;=50,"B","RA")))))</f>
        <v>B</v>
      </c>
      <c r="L15" s="2">
        <f>RANK(D15,$D$3:$D$27)</f>
        <v>12</v>
      </c>
      <c r="M15" s="3">
        <f>COUNTIF(D15:H15, "&gt;=50")</f>
        <v>3</v>
      </c>
      <c r="N15" s="3">
        <f>COUNTIF(E15:I15, "&lt;50")</f>
        <v>2</v>
      </c>
    </row>
    <row r="16" spans="1:14" hidden="1">
      <c r="A16" s="2">
        <v>9</v>
      </c>
      <c r="B16" s="3" t="s">
        <v>30</v>
      </c>
      <c r="C16" s="3" t="s">
        <v>31</v>
      </c>
      <c r="D16" s="2">
        <v>80</v>
      </c>
      <c r="E16" s="2">
        <v>18</v>
      </c>
      <c r="F16" s="2">
        <v>61</v>
      </c>
      <c r="G16" s="2">
        <v>16</v>
      </c>
      <c r="H16" s="2">
        <v>64</v>
      </c>
      <c r="I16" s="2">
        <f>SUM(D16:H16)</f>
        <v>239</v>
      </c>
      <c r="J16" s="2">
        <f>AVERAGE(D16:H16)</f>
        <v>47.8</v>
      </c>
      <c r="K16" s="2" t="str">
        <f>IF(J16&gt;90,"O",IF(J16&gt;80,"A+",IF(J16&gt;70,"A",IF(J16&gt;60,"B+",IF(J16&gt;=50,"B","RA")))))</f>
        <v>RA</v>
      </c>
      <c r="L16" s="2">
        <f>RANK(D16,$D$3:$D$27)</f>
        <v>12</v>
      </c>
      <c r="M16" s="3">
        <f>COUNTIF(D16:H16, "&gt;=50")</f>
        <v>3</v>
      </c>
      <c r="N16" s="3">
        <f>COUNTIF(E16:I16, "&lt;50")</f>
        <v>2</v>
      </c>
    </row>
    <row r="17" spans="1:14" hidden="1">
      <c r="A17" s="2">
        <v>20</v>
      </c>
      <c r="B17" s="3" t="s">
        <v>52</v>
      </c>
      <c r="C17" s="3" t="s">
        <v>53</v>
      </c>
      <c r="D17" s="2">
        <v>60</v>
      </c>
      <c r="E17" s="2">
        <v>37</v>
      </c>
      <c r="F17" s="2">
        <v>94</v>
      </c>
      <c r="G17" s="2">
        <v>37</v>
      </c>
      <c r="H17" s="2">
        <v>99</v>
      </c>
      <c r="I17" s="2">
        <f>SUM(D17:H17)</f>
        <v>327</v>
      </c>
      <c r="J17" s="2">
        <f>AVERAGE(D17:H17)</f>
        <v>65.400000000000006</v>
      </c>
      <c r="K17" s="2" t="str">
        <f>IF(J17&gt;90,"O",IF(J17&gt;80,"A+",IF(J17&gt;70,"A",IF(J17&gt;60,"B+",IF(J17&gt;=50,"B","RA")))))</f>
        <v>B+</v>
      </c>
      <c r="L17" s="2">
        <f>RANK(D17,$D$3:$D$27)</f>
        <v>14</v>
      </c>
      <c r="M17" s="3">
        <f>COUNTIF(D17:H17, "&gt;=50")</f>
        <v>3</v>
      </c>
      <c r="N17" s="3">
        <f>COUNTIF(E17:I17, "&lt;50")</f>
        <v>2</v>
      </c>
    </row>
    <row r="18" spans="1:14" hidden="1">
      <c r="A18" s="2">
        <v>4</v>
      </c>
      <c r="B18" s="3" t="s">
        <v>20</v>
      </c>
      <c r="C18" s="3" t="s">
        <v>21</v>
      </c>
      <c r="D18" s="2">
        <v>57</v>
      </c>
      <c r="E18" s="2">
        <v>49</v>
      </c>
      <c r="F18" s="2">
        <v>82</v>
      </c>
      <c r="G18" s="2">
        <v>31</v>
      </c>
      <c r="H18" s="2">
        <v>52</v>
      </c>
      <c r="I18" s="2">
        <f>SUM(D18:H18)</f>
        <v>271</v>
      </c>
      <c r="J18" s="2">
        <f>AVERAGE(D18:H18)</f>
        <v>54.2</v>
      </c>
      <c r="K18" s="2" t="str">
        <f>IF(J18&gt;90,"O",IF(J18&gt;80,"A+",IF(J18&gt;70,"A",IF(J18&gt;60,"B+",IF(J18&gt;=50,"B","RA")))))</f>
        <v>B</v>
      </c>
      <c r="L18" s="2">
        <f>RANK(D18,$D$3:$D$27)</f>
        <v>15</v>
      </c>
      <c r="M18" s="3">
        <f>COUNTIF(D18:H18, "&gt;=50")</f>
        <v>3</v>
      </c>
      <c r="N18" s="3">
        <f>COUNTIF(E18:I18, "&lt;50")</f>
        <v>2</v>
      </c>
    </row>
    <row r="19" spans="1:14">
      <c r="A19" s="2">
        <v>1</v>
      </c>
      <c r="B19" s="3" t="s">
        <v>14</v>
      </c>
      <c r="C19" s="3" t="s">
        <v>15</v>
      </c>
      <c r="D19" s="2">
        <v>56</v>
      </c>
      <c r="E19" s="2">
        <v>56</v>
      </c>
      <c r="F19" s="2">
        <v>50</v>
      </c>
      <c r="G19" s="2">
        <v>57</v>
      </c>
      <c r="H19" s="2">
        <v>59</v>
      </c>
      <c r="I19" s="2">
        <f>SUM(D19:H19)</f>
        <v>278</v>
      </c>
      <c r="J19" s="2">
        <f>AVERAGE(D19:H19)</f>
        <v>55.6</v>
      </c>
      <c r="K19" s="2" t="str">
        <f>IF(J19&gt;90,"O",IF(J19&gt;80,"A+",IF(J19&gt;70,"A",IF(J19&gt;60,"B+",IF(J19&gt;=50,"B","RA")))))</f>
        <v>B</v>
      </c>
      <c r="L19" s="2">
        <f>RANK(D19,$D$3:$D$27)</f>
        <v>16</v>
      </c>
      <c r="M19" s="3">
        <f>COUNTIF(D19:H19, "&gt;=50")</f>
        <v>5</v>
      </c>
      <c r="N19" s="3">
        <f>COUNTIF(E19:I19, "&lt;50")</f>
        <v>0</v>
      </c>
    </row>
    <row r="20" spans="1:14" hidden="1">
      <c r="A20" s="2">
        <v>19</v>
      </c>
      <c r="B20" s="3" t="s">
        <v>50</v>
      </c>
      <c r="C20" s="3" t="s">
        <v>51</v>
      </c>
      <c r="D20" s="2">
        <v>56</v>
      </c>
      <c r="E20" s="2">
        <v>23</v>
      </c>
      <c r="F20" s="2">
        <v>61</v>
      </c>
      <c r="G20" s="2">
        <v>31</v>
      </c>
      <c r="H20" s="2">
        <v>3</v>
      </c>
      <c r="I20" s="2">
        <f>SUM(D20:H20)</f>
        <v>174</v>
      </c>
      <c r="J20" s="2">
        <f>AVERAGE(D20:H20)</f>
        <v>34.799999999999997</v>
      </c>
      <c r="K20" s="2" t="str">
        <f>IF(J20&gt;90,"O",IF(J20&gt;80,"A+",IF(J20&gt;70,"A",IF(J20&gt;60,"B+",IF(J20&gt;=50,"B","RA")))))</f>
        <v>RA</v>
      </c>
      <c r="L20" s="2">
        <f>RANK(D20,$D$3:$D$27)</f>
        <v>16</v>
      </c>
      <c r="M20" s="3">
        <f>COUNTIF(D20:H20, "&gt;=50")</f>
        <v>2</v>
      </c>
      <c r="N20" s="3">
        <f>COUNTIF(E20:I20, "&lt;50")</f>
        <v>3</v>
      </c>
    </row>
    <row r="21" spans="1:14">
      <c r="A21" s="2">
        <v>11</v>
      </c>
      <c r="B21" s="3" t="s">
        <v>34</v>
      </c>
      <c r="C21" s="3" t="s">
        <v>35</v>
      </c>
      <c r="D21" s="2">
        <v>55</v>
      </c>
      <c r="E21" s="2">
        <v>75</v>
      </c>
      <c r="F21" s="2">
        <v>70</v>
      </c>
      <c r="G21" s="2">
        <v>99</v>
      </c>
      <c r="H21" s="2">
        <v>79</v>
      </c>
      <c r="I21" s="2">
        <f>SUM(D21:H21)</f>
        <v>378</v>
      </c>
      <c r="J21" s="2">
        <f>AVERAGE(D21:H21)</f>
        <v>75.599999999999994</v>
      </c>
      <c r="K21" s="2" t="str">
        <f>IF(J21&gt;90,"O",IF(J21&gt;80,"A+",IF(J21&gt;70,"A",IF(J21&gt;60,"B+",IF(J21&gt;=50,"B","RA")))))</f>
        <v>A</v>
      </c>
      <c r="L21" s="2">
        <f>RANK(D21,$D$3:$D$27)</f>
        <v>18</v>
      </c>
      <c r="M21" s="3">
        <f>COUNTIF(D21:H21, "&gt;=50")</f>
        <v>5</v>
      </c>
      <c r="N21" s="3">
        <f>COUNTIF(E21:I21, "&lt;50")</f>
        <v>0</v>
      </c>
    </row>
    <row r="22" spans="1:14" hidden="1">
      <c r="A22" s="2">
        <v>2</v>
      </c>
      <c r="B22" s="3" t="s">
        <v>16</v>
      </c>
      <c r="C22" s="3" t="s">
        <v>17</v>
      </c>
      <c r="D22" s="2">
        <v>49</v>
      </c>
      <c r="E22" s="2">
        <v>88</v>
      </c>
      <c r="F22" s="2">
        <v>100</v>
      </c>
      <c r="G22" s="2">
        <v>53</v>
      </c>
      <c r="H22" s="2">
        <v>79</v>
      </c>
      <c r="I22" s="2">
        <f>SUM(D22:H22)</f>
        <v>369</v>
      </c>
      <c r="J22" s="2">
        <f>AVERAGE(D22:H22)</f>
        <v>73.8</v>
      </c>
      <c r="K22" s="2" t="str">
        <f>IF(J22&gt;90,"O",IF(J22&gt;80,"A+",IF(J22&gt;70,"A",IF(J22&gt;60,"B+",IF(J22&gt;=50,"B","RA")))))</f>
        <v>A</v>
      </c>
      <c r="L22" s="2">
        <f>RANK(D22,$D$3:$D$27)</f>
        <v>19</v>
      </c>
      <c r="M22" s="3">
        <f>COUNTIF(D22:H22, "&gt;=50")</f>
        <v>4</v>
      </c>
      <c r="N22" s="3">
        <f>COUNTIF(E22:I22, "&lt;50")</f>
        <v>0</v>
      </c>
    </row>
    <row r="23" spans="1:14" hidden="1">
      <c r="A23" s="2">
        <v>23</v>
      </c>
      <c r="B23" s="3" t="s">
        <v>58</v>
      </c>
      <c r="C23" s="3" t="s">
        <v>59</v>
      </c>
      <c r="D23" s="2">
        <v>33</v>
      </c>
      <c r="E23" s="2">
        <v>90</v>
      </c>
      <c r="F23" s="2">
        <v>84</v>
      </c>
      <c r="G23" s="2">
        <v>54</v>
      </c>
      <c r="H23" s="2">
        <v>52</v>
      </c>
      <c r="I23" s="2">
        <f>SUM(D23:H23)</f>
        <v>313</v>
      </c>
      <c r="J23" s="2">
        <f>AVERAGE(D23:H23)</f>
        <v>62.6</v>
      </c>
      <c r="K23" s="2" t="str">
        <f>IF(J23&gt;90,"O",IF(J23&gt;80,"A+",IF(J23&gt;70,"A",IF(J23&gt;60,"B+",IF(J23&gt;=50,"B","RA")))))</f>
        <v>B+</v>
      </c>
      <c r="L23" s="2">
        <f>RANK(D23,$D$3:$D$27)</f>
        <v>20</v>
      </c>
      <c r="M23" s="3">
        <f>COUNTIF(D23:H23, "&gt;=50")</f>
        <v>4</v>
      </c>
      <c r="N23" s="3">
        <f>COUNTIF(E23:I23, "&lt;50")</f>
        <v>0</v>
      </c>
    </row>
    <row r="24" spans="1:14" hidden="1">
      <c r="A24" s="2">
        <v>8</v>
      </c>
      <c r="B24" s="3" t="s">
        <v>28</v>
      </c>
      <c r="C24" s="3" t="s">
        <v>29</v>
      </c>
      <c r="D24" s="2">
        <v>26</v>
      </c>
      <c r="E24" s="2">
        <v>46</v>
      </c>
      <c r="F24" s="2">
        <v>16</v>
      </c>
      <c r="G24" s="2">
        <v>69</v>
      </c>
      <c r="H24" s="2">
        <v>22</v>
      </c>
      <c r="I24" s="2">
        <f>SUM(D24:H24)</f>
        <v>179</v>
      </c>
      <c r="J24" s="2">
        <f>AVERAGE(D24:H24)</f>
        <v>35.799999999999997</v>
      </c>
      <c r="K24" s="2" t="str">
        <f>IF(J24&gt;90,"O",IF(J24&gt;80,"A+",IF(J24&gt;70,"A",IF(J24&gt;60,"B+",IF(J24&gt;=50,"B","RA")))))</f>
        <v>RA</v>
      </c>
      <c r="L24" s="2">
        <f>RANK(D24,$D$3:$D$27)</f>
        <v>21</v>
      </c>
      <c r="M24" s="3">
        <f>COUNTIF(D24:H24, "&gt;=50")</f>
        <v>1</v>
      </c>
      <c r="N24" s="3">
        <f>COUNTIF(E24:I24, "&lt;50")</f>
        <v>3</v>
      </c>
    </row>
    <row r="25" spans="1:14" hidden="1">
      <c r="A25" s="2">
        <v>12</v>
      </c>
      <c r="B25" s="3" t="s">
        <v>36</v>
      </c>
      <c r="C25" s="3" t="s">
        <v>37</v>
      </c>
      <c r="D25" s="2">
        <v>19</v>
      </c>
      <c r="E25" s="2">
        <v>11</v>
      </c>
      <c r="F25" s="2">
        <v>99</v>
      </c>
      <c r="G25" s="2">
        <v>65</v>
      </c>
      <c r="H25" s="2">
        <v>18</v>
      </c>
      <c r="I25" s="2">
        <f>SUM(D25:H25)</f>
        <v>212</v>
      </c>
      <c r="J25" s="2">
        <f>AVERAGE(D25:H25)</f>
        <v>42.4</v>
      </c>
      <c r="K25" s="2" t="str">
        <f>IF(J25&gt;90,"O",IF(J25&gt;80,"A+",IF(J25&gt;70,"A",IF(J25&gt;60,"B+",IF(J25&gt;=50,"B","RA")))))</f>
        <v>RA</v>
      </c>
      <c r="L25" s="2">
        <f>RANK(D25,$D$3:$D$27)</f>
        <v>22</v>
      </c>
      <c r="M25" s="3">
        <f>COUNTIF(D25:H25, "&gt;=50")</f>
        <v>2</v>
      </c>
      <c r="N25" s="3">
        <f>COUNTIF(E25:I25, "&lt;50")</f>
        <v>2</v>
      </c>
    </row>
    <row r="26" spans="1:14" hidden="1">
      <c r="A26" s="2">
        <v>5</v>
      </c>
      <c r="B26" s="3" t="s">
        <v>22</v>
      </c>
      <c r="C26" s="3" t="s">
        <v>23</v>
      </c>
      <c r="D26" s="2">
        <v>16</v>
      </c>
      <c r="E26" s="2">
        <v>47</v>
      </c>
      <c r="F26" s="2">
        <v>5</v>
      </c>
      <c r="G26" s="2">
        <v>25</v>
      </c>
      <c r="H26" s="2">
        <v>18</v>
      </c>
      <c r="I26" s="2">
        <f>SUM(D26:H26)</f>
        <v>111</v>
      </c>
      <c r="J26" s="2">
        <f>AVERAGE(D26:H26)</f>
        <v>22.2</v>
      </c>
      <c r="K26" s="2" t="str">
        <f>IF(J26&gt;90,"O",IF(J26&gt;80,"A+",IF(J26&gt;70,"A",IF(J26&gt;60,"B+",IF(J26&gt;=50,"B","RA")))))</f>
        <v>RA</v>
      </c>
      <c r="L26" s="2">
        <f>RANK(D26,$D$3:$D$27)</f>
        <v>23</v>
      </c>
      <c r="M26" s="3">
        <f>COUNTIF(D26:H26, "&gt;=50")</f>
        <v>0</v>
      </c>
      <c r="N26" s="3">
        <f>COUNTIF(E26:I26, "&lt;50")</f>
        <v>4</v>
      </c>
    </row>
    <row r="27" spans="1:14" hidden="1">
      <c r="A27" s="2">
        <v>15</v>
      </c>
      <c r="B27" s="3" t="s">
        <v>42</v>
      </c>
      <c r="C27" s="3" t="s">
        <v>43</v>
      </c>
      <c r="D27" s="2">
        <v>8</v>
      </c>
      <c r="E27" s="2">
        <v>77</v>
      </c>
      <c r="F27" s="2">
        <v>60</v>
      </c>
      <c r="G27" s="2">
        <v>25</v>
      </c>
      <c r="H27" s="2">
        <v>1</v>
      </c>
      <c r="I27" s="2">
        <f>SUM(D27:H27)</f>
        <v>171</v>
      </c>
      <c r="J27" s="2">
        <f>AVERAGE(D27:H27)</f>
        <v>34.200000000000003</v>
      </c>
      <c r="K27" s="2" t="str">
        <f>IF(J27&gt;90,"O",IF(J27&gt;80,"A+",IF(J27&gt;70,"A",IF(J27&gt;60,"B+",IF(J27&gt;=50,"B","RA")))))</f>
        <v>RA</v>
      </c>
      <c r="L27" s="2">
        <f>RANK(D27,$D$3:$D$27)</f>
        <v>24</v>
      </c>
      <c r="M27" s="3">
        <f>COUNTIF(D27:H27, "&gt;=50")</f>
        <v>2</v>
      </c>
      <c r="N27" s="3">
        <f>COUNTIF(E27:I27, "&lt;50")</f>
        <v>2</v>
      </c>
    </row>
    <row r="28" spans="1:14" hidden="1">
      <c r="A28" s="2">
        <v>14</v>
      </c>
      <c r="B28" s="3" t="s">
        <v>40</v>
      </c>
      <c r="C28" s="3" t="s">
        <v>41</v>
      </c>
      <c r="D28" s="2">
        <v>7</v>
      </c>
      <c r="E28" s="2">
        <v>11</v>
      </c>
      <c r="F28" s="2">
        <v>78</v>
      </c>
      <c r="G28" s="2">
        <v>14</v>
      </c>
      <c r="H28" s="2">
        <v>73</v>
      </c>
      <c r="I28" s="2">
        <f>SUM(D28:H28)</f>
        <v>183</v>
      </c>
      <c r="J28" s="2">
        <f>AVERAGE(D28:H28)</f>
        <v>36.6</v>
      </c>
      <c r="K28" s="2" t="str">
        <f>IF(J28&gt;90,"O",IF(J28&gt;80,"A+",IF(J28&gt;70,"A",IF(J28&gt;60,"B+",IF(J28&gt;=50,"B","RA")))))</f>
        <v>RA</v>
      </c>
      <c r="L28" s="2" t="e">
        <f>RANK(D28,$D$3:$D$27)</f>
        <v>#N/A</v>
      </c>
      <c r="M28" s="3">
        <f>COUNTIF(D28:H28, "&gt;=50")</f>
        <v>2</v>
      </c>
      <c r="N28" s="3">
        <f>COUNTIF(E28:I28, "&lt;50")</f>
        <v>2</v>
      </c>
    </row>
    <row r="30" spans="1:14">
      <c r="A30" s="9" t="s">
        <v>71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</row>
    <row r="32" spans="1:14">
      <c r="A32" s="2">
        <v>2</v>
      </c>
      <c r="B32" s="3" t="s">
        <v>16</v>
      </c>
      <c r="C32" s="3" t="s">
        <v>17</v>
      </c>
      <c r="D32" s="2">
        <v>49</v>
      </c>
      <c r="E32" s="2">
        <v>88</v>
      </c>
      <c r="F32" s="2">
        <v>100</v>
      </c>
      <c r="G32" s="2">
        <v>53</v>
      </c>
      <c r="H32" s="2">
        <v>79</v>
      </c>
      <c r="I32" s="2">
        <f>SUM(D32:H32)</f>
        <v>369</v>
      </c>
      <c r="J32" s="2">
        <f>AVERAGE(D32:H32)</f>
        <v>73.8</v>
      </c>
      <c r="K32" s="2" t="str">
        <f>IF(J32&gt;90,"O",IF(J32&gt;80,"A+",IF(J32&gt;70,"A",IF(J32&gt;60,"B+",IF(J32&gt;=50,"B","RA")))))</f>
        <v>A</v>
      </c>
      <c r="L32" s="2">
        <f>RANK(D32,$D$2:$D$26)</f>
        <v>19</v>
      </c>
      <c r="M32" s="3">
        <f>COUNTIF(D32:H32, "&gt;=50")</f>
        <v>4</v>
      </c>
      <c r="N32" s="3">
        <f>COUNTIF(E32:I32, "&lt;50")</f>
        <v>0</v>
      </c>
    </row>
    <row r="33" spans="1:14">
      <c r="A33" s="2">
        <v>1</v>
      </c>
      <c r="B33" s="3" t="s">
        <v>14</v>
      </c>
      <c r="C33" s="3" t="s">
        <v>15</v>
      </c>
      <c r="D33" s="2">
        <v>56</v>
      </c>
      <c r="E33" s="2">
        <v>56</v>
      </c>
      <c r="F33" s="2">
        <v>50</v>
      </c>
      <c r="G33" s="2">
        <v>57</v>
      </c>
      <c r="H33" s="2">
        <v>59</v>
      </c>
      <c r="I33" s="2">
        <f>SUM(D33:H33)</f>
        <v>278</v>
      </c>
      <c r="J33" s="2">
        <f>AVERAGE(D33:H33)</f>
        <v>55.6</v>
      </c>
      <c r="K33" s="2" t="str">
        <f>IF(J33&gt;90,"O",IF(J33&gt;80,"A+",IF(J33&gt;70,"A",IF(J33&gt;60,"B+",IF(J33&gt;=50,"B","RA")))))</f>
        <v>B</v>
      </c>
      <c r="L33" s="2">
        <f>RANK(D33,$D$2:$D$26)</f>
        <v>16</v>
      </c>
      <c r="M33" s="3">
        <f>COUNTIF(D33:H33, "&gt;=50")</f>
        <v>5</v>
      </c>
      <c r="N33" s="3">
        <f>COUNTIF(E33:I33, "&lt;50")</f>
        <v>0</v>
      </c>
    </row>
    <row r="34" spans="1:14">
      <c r="A34" s="2">
        <v>3</v>
      </c>
      <c r="B34" s="3" t="s">
        <v>18</v>
      </c>
      <c r="C34" s="3" t="s">
        <v>19</v>
      </c>
      <c r="D34" s="2">
        <v>80</v>
      </c>
      <c r="E34" s="2">
        <v>39</v>
      </c>
      <c r="F34" s="2">
        <v>55</v>
      </c>
      <c r="G34" s="2">
        <v>73</v>
      </c>
      <c r="H34" s="2">
        <v>46</v>
      </c>
      <c r="I34" s="2">
        <f>SUM(D34:H34)</f>
        <v>293</v>
      </c>
      <c r="J34" s="2">
        <f>AVERAGE(D34:H34)</f>
        <v>58.6</v>
      </c>
      <c r="K34" s="2" t="str">
        <f>IF(J34&gt;90,"O",IF(J34&gt;80,"A+",IF(J34&gt;70,"A",IF(J34&gt;60,"B+",IF(J34&gt;=50,"B","RA")))))</f>
        <v>B</v>
      </c>
      <c r="L34" s="2">
        <f>RANK(D34,$D$2:$D$26)</f>
        <v>12</v>
      </c>
      <c r="M34" s="3">
        <f>COUNTIF(D34:H34, "&gt;=50")</f>
        <v>3</v>
      </c>
      <c r="N34" s="3">
        <f>COUNTIF(E34:I34, "&lt;50")</f>
        <v>2</v>
      </c>
    </row>
    <row r="35" spans="1:14">
      <c r="A35" s="2">
        <v>4</v>
      </c>
      <c r="B35" s="3" t="s">
        <v>20</v>
      </c>
      <c r="C35" s="3" t="s">
        <v>21</v>
      </c>
      <c r="D35" s="2">
        <v>57</v>
      </c>
      <c r="E35" s="2">
        <v>49</v>
      </c>
      <c r="F35" s="2">
        <v>82</v>
      </c>
      <c r="G35" s="2">
        <v>31</v>
      </c>
      <c r="H35" s="2">
        <v>52</v>
      </c>
      <c r="I35" s="2">
        <f>SUM(D35:H35)</f>
        <v>271</v>
      </c>
      <c r="J35" s="2">
        <f>AVERAGE(D35:H35)</f>
        <v>54.2</v>
      </c>
      <c r="K35" s="2" t="str">
        <f>IF(J35&gt;90,"O",IF(J35&gt;80,"A+",IF(J35&gt;70,"A",IF(J35&gt;60,"B+",IF(J35&gt;=50,"B","RA")))))</f>
        <v>B</v>
      </c>
      <c r="L35" s="2">
        <f>RANK(D35,$D$2:$D$26)</f>
        <v>15</v>
      </c>
      <c r="M35" s="3">
        <f>COUNTIF(D35:H35, "&gt;=50")</f>
        <v>3</v>
      </c>
      <c r="N35" s="3">
        <f>COUNTIF(E35:I35, "&lt;50")</f>
        <v>2</v>
      </c>
    </row>
    <row r="36" spans="1:14">
      <c r="A36" s="2">
        <v>5</v>
      </c>
      <c r="B36" s="3" t="s">
        <v>22</v>
      </c>
      <c r="C36" s="3" t="s">
        <v>23</v>
      </c>
      <c r="D36" s="2">
        <v>16</v>
      </c>
      <c r="E36" s="2">
        <v>47</v>
      </c>
      <c r="F36" s="2">
        <v>5</v>
      </c>
      <c r="G36" s="2">
        <v>25</v>
      </c>
      <c r="H36" s="2">
        <v>18</v>
      </c>
      <c r="I36" s="2">
        <f>SUM(D36:H36)</f>
        <v>111</v>
      </c>
      <c r="J36" s="2">
        <f>AVERAGE(D36:H36)</f>
        <v>22.2</v>
      </c>
      <c r="K36" s="2" t="str">
        <f>IF(J36&gt;90,"O",IF(J36&gt;80,"A+",IF(J36&gt;70,"A",IF(J36&gt;60,"B+",IF(J36&gt;=50,"B","RA")))))</f>
        <v>RA</v>
      </c>
      <c r="L36" s="2">
        <f>RANK(D36,$D$2:$D$26)</f>
        <v>23</v>
      </c>
      <c r="M36" s="3">
        <f>COUNTIF(D36:H36, "&gt;=50")</f>
        <v>0</v>
      </c>
      <c r="N36" s="3">
        <f>COUNTIF(E36:I36, "&lt;50")</f>
        <v>4</v>
      </c>
    </row>
    <row r="37" spans="1:14">
      <c r="A37" s="2">
        <v>6</v>
      </c>
      <c r="B37" s="3" t="s">
        <v>24</v>
      </c>
      <c r="C37" s="3" t="s">
        <v>25</v>
      </c>
      <c r="D37" s="2">
        <v>88</v>
      </c>
      <c r="E37" s="2">
        <v>50</v>
      </c>
      <c r="F37" s="2">
        <v>9</v>
      </c>
      <c r="G37" s="2">
        <v>16</v>
      </c>
      <c r="H37" s="2">
        <v>59</v>
      </c>
      <c r="I37" s="2">
        <f>SUM(D37:H37)</f>
        <v>222</v>
      </c>
      <c r="J37" s="2">
        <f>AVERAGE(D37:H37)</f>
        <v>44.4</v>
      </c>
      <c r="K37" s="2" t="str">
        <f>IF(J37&gt;90,"O",IF(J37&gt;80,"A+",IF(J37&gt;70,"A",IF(J37&gt;60,"B+",IF(J37&gt;=50,"B","RA")))))</f>
        <v>RA</v>
      </c>
      <c r="L37" s="2">
        <f>RANK(D37,$D$2:$D$26)</f>
        <v>7</v>
      </c>
      <c r="M37" s="3">
        <f>COUNTIF(D37:H37, "&gt;=50")</f>
        <v>3</v>
      </c>
      <c r="N37" s="3">
        <f>COUNTIF(E37:I37, "&lt;50")</f>
        <v>2</v>
      </c>
    </row>
    <row r="38" spans="1:14">
      <c r="A38" s="2">
        <v>7</v>
      </c>
      <c r="B38" s="3" t="s">
        <v>26</v>
      </c>
      <c r="C38" s="3" t="s">
        <v>27</v>
      </c>
      <c r="D38" s="2">
        <v>90</v>
      </c>
      <c r="E38" s="2">
        <v>71</v>
      </c>
      <c r="F38" s="2">
        <v>85</v>
      </c>
      <c r="G38" s="2">
        <v>55</v>
      </c>
      <c r="H38" s="2">
        <v>50</v>
      </c>
      <c r="I38" s="2">
        <f>SUM(D38:H38)</f>
        <v>351</v>
      </c>
      <c r="J38" s="2">
        <f>AVERAGE(D38:H38)</f>
        <v>70.2</v>
      </c>
      <c r="K38" s="2" t="str">
        <f>IF(J38&gt;90,"O",IF(J38&gt;80,"A+",IF(J38&gt;70,"A",IF(J38&gt;60,"B+",IF(J38&gt;=50,"B","RA")))))</f>
        <v>A</v>
      </c>
      <c r="L38" s="2">
        <f>RANK(D38,$D$2:$D$26)</f>
        <v>4</v>
      </c>
      <c r="M38" s="3">
        <f>COUNTIF(D38:H38, "&gt;=50")</f>
        <v>5</v>
      </c>
      <c r="N38" s="3">
        <f>COUNTIF(E38:I38, "&lt;50")</f>
        <v>0</v>
      </c>
    </row>
    <row r="39" spans="1:14">
      <c r="A39" s="2">
        <v>8</v>
      </c>
      <c r="B39" s="3" t="s">
        <v>28</v>
      </c>
      <c r="C39" s="3" t="s">
        <v>29</v>
      </c>
      <c r="D39" s="2">
        <v>26</v>
      </c>
      <c r="E39" s="2">
        <v>46</v>
      </c>
      <c r="F39" s="2">
        <v>16</v>
      </c>
      <c r="G39" s="2">
        <v>69</v>
      </c>
      <c r="H39" s="2">
        <v>22</v>
      </c>
      <c r="I39" s="2">
        <f>SUM(D39:H39)</f>
        <v>179</v>
      </c>
      <c r="J39" s="2">
        <f>AVERAGE(D39:H39)</f>
        <v>35.799999999999997</v>
      </c>
      <c r="K39" s="2" t="str">
        <f>IF(J39&gt;90,"O",IF(J39&gt;80,"A+",IF(J39&gt;70,"A",IF(J39&gt;60,"B+",IF(J39&gt;=50,"B","RA")))))</f>
        <v>RA</v>
      </c>
      <c r="L39" s="2">
        <f>RANK(D39,$D$2:$D$26)</f>
        <v>21</v>
      </c>
      <c r="M39" s="3">
        <f>COUNTIF(D39:H39, "&gt;=50")</f>
        <v>1</v>
      </c>
      <c r="N39" s="3">
        <f>COUNTIF(E39:I39, "&lt;50")</f>
        <v>3</v>
      </c>
    </row>
    <row r="40" spans="1:14">
      <c r="A40" s="2">
        <v>9</v>
      </c>
      <c r="B40" s="3" t="s">
        <v>30</v>
      </c>
      <c r="C40" s="3" t="s">
        <v>31</v>
      </c>
      <c r="D40" s="2">
        <v>80</v>
      </c>
      <c r="E40" s="2">
        <v>18</v>
      </c>
      <c r="F40" s="2">
        <v>61</v>
      </c>
      <c r="G40" s="2">
        <v>16</v>
      </c>
      <c r="H40" s="2">
        <v>64</v>
      </c>
      <c r="I40" s="2">
        <f>SUM(D40:H40)</f>
        <v>239</v>
      </c>
      <c r="J40" s="2">
        <f>AVERAGE(D40:H40)</f>
        <v>47.8</v>
      </c>
      <c r="K40" s="2" t="str">
        <f>IF(J40&gt;90,"O",IF(J40&gt;80,"A+",IF(J40&gt;70,"A",IF(J40&gt;60,"B+",IF(J40&gt;=50,"B","RA")))))</f>
        <v>RA</v>
      </c>
      <c r="L40" s="2">
        <f>RANK(D40,$D$2:$D$26)</f>
        <v>12</v>
      </c>
      <c r="M40" s="3">
        <f>COUNTIF(D40:H40, "&gt;=50")</f>
        <v>3</v>
      </c>
      <c r="N40" s="3">
        <f>COUNTIF(E40:I40, "&lt;50")</f>
        <v>2</v>
      </c>
    </row>
    <row r="41" spans="1:14">
      <c r="A41" s="2">
        <v>10</v>
      </c>
      <c r="B41" s="3" t="s">
        <v>32</v>
      </c>
      <c r="C41" s="3" t="s">
        <v>33</v>
      </c>
      <c r="D41" s="2">
        <v>87</v>
      </c>
      <c r="E41" s="2">
        <v>40</v>
      </c>
      <c r="F41" s="2">
        <v>43</v>
      </c>
      <c r="G41" s="2">
        <v>100</v>
      </c>
      <c r="H41" s="2">
        <v>60</v>
      </c>
      <c r="I41" s="2">
        <f>SUM(D41:H41)</f>
        <v>330</v>
      </c>
      <c r="J41" s="2">
        <f>AVERAGE(D41:H41)</f>
        <v>66</v>
      </c>
      <c r="K41" s="2" t="str">
        <f>IF(J41&gt;90,"O",IF(J41&gt;80,"A+",IF(J41&gt;70,"A",IF(J41&gt;60,"B+",IF(J41&gt;=50,"B","RA")))))</f>
        <v>B+</v>
      </c>
      <c r="L41" s="2">
        <f>RANK(D41,$D$2:$D$26)</f>
        <v>8</v>
      </c>
      <c r="M41" s="3">
        <f>COUNTIF(D41:H41, "&gt;=50")</f>
        <v>3</v>
      </c>
      <c r="N41" s="3">
        <f>COUNTIF(E41:I41, "&lt;50")</f>
        <v>2</v>
      </c>
    </row>
    <row r="42" spans="1:14">
      <c r="A42" s="2">
        <v>11</v>
      </c>
      <c r="B42" s="3" t="s">
        <v>34</v>
      </c>
      <c r="C42" s="3" t="s">
        <v>35</v>
      </c>
      <c r="D42" s="2">
        <v>55</v>
      </c>
      <c r="E42" s="2">
        <v>75</v>
      </c>
      <c r="F42" s="2">
        <v>70</v>
      </c>
      <c r="G42" s="2">
        <v>99</v>
      </c>
      <c r="H42" s="2">
        <v>79</v>
      </c>
      <c r="I42" s="2">
        <f>SUM(D42:H42)</f>
        <v>378</v>
      </c>
      <c r="J42" s="2">
        <f>AVERAGE(D42:H42)</f>
        <v>75.599999999999994</v>
      </c>
      <c r="K42" s="2" t="str">
        <f>IF(J42&gt;90,"O",IF(J42&gt;80,"A+",IF(J42&gt;70,"A",IF(J42&gt;60,"B+",IF(J42&gt;=50,"B","RA")))))</f>
        <v>A</v>
      </c>
      <c r="L42" s="2">
        <f>RANK(D42,$D$2:$D$26)</f>
        <v>18</v>
      </c>
      <c r="M42" s="3">
        <f>COUNTIF(D42:H42, "&gt;=50")</f>
        <v>5</v>
      </c>
      <c r="N42" s="3">
        <f>COUNTIF(E42:I42, "&lt;50")</f>
        <v>0</v>
      </c>
    </row>
    <row r="43" spans="1:14">
      <c r="A43" s="2">
        <v>12</v>
      </c>
      <c r="B43" s="3" t="s">
        <v>36</v>
      </c>
      <c r="C43" s="3" t="s">
        <v>37</v>
      </c>
      <c r="D43" s="2">
        <v>19</v>
      </c>
      <c r="E43" s="2">
        <v>11</v>
      </c>
      <c r="F43" s="2">
        <v>99</v>
      </c>
      <c r="G43" s="2">
        <v>65</v>
      </c>
      <c r="H43" s="2">
        <v>18</v>
      </c>
      <c r="I43" s="2">
        <f>SUM(D43:H43)</f>
        <v>212</v>
      </c>
      <c r="J43" s="2">
        <f>AVERAGE(D43:H43)</f>
        <v>42.4</v>
      </c>
      <c r="K43" s="2" t="str">
        <f>IF(J43&gt;90,"O",IF(J43&gt;80,"A+",IF(J43&gt;70,"A",IF(J43&gt;60,"B+",IF(J43&gt;=50,"B","RA")))))</f>
        <v>RA</v>
      </c>
      <c r="L43" s="2">
        <f>RANK(D43,$D$2:$D$26)</f>
        <v>22</v>
      </c>
      <c r="M43" s="3">
        <f>COUNTIF(D43:H43, "&gt;=50")</f>
        <v>2</v>
      </c>
      <c r="N43" s="3">
        <f>COUNTIF(E43:I43, "&lt;50")</f>
        <v>2</v>
      </c>
    </row>
    <row r="44" spans="1:14">
      <c r="A44" s="2">
        <v>13</v>
      </c>
      <c r="B44" s="3" t="s">
        <v>38</v>
      </c>
      <c r="C44" s="3" t="s">
        <v>39</v>
      </c>
      <c r="D44" s="2">
        <v>90</v>
      </c>
      <c r="E44" s="2">
        <v>49</v>
      </c>
      <c r="F44" s="2">
        <v>10</v>
      </c>
      <c r="G44" s="2">
        <v>54</v>
      </c>
      <c r="H44" s="2">
        <v>17</v>
      </c>
      <c r="I44" s="2">
        <f>SUM(D44:H44)</f>
        <v>220</v>
      </c>
      <c r="J44" s="2">
        <f>AVERAGE(D44:H44)</f>
        <v>44</v>
      </c>
      <c r="K44" s="2" t="str">
        <f>IF(J44&gt;90,"O",IF(J44&gt;80,"A+",IF(J44&gt;70,"A",IF(J44&gt;60,"B+",IF(J44&gt;=50,"B","RA")))))</f>
        <v>RA</v>
      </c>
      <c r="L44" s="2">
        <f>RANK(D44,$D$2:$D$26)</f>
        <v>4</v>
      </c>
      <c r="M44" s="3">
        <f>COUNTIF(D44:H44, "&gt;=50")</f>
        <v>2</v>
      </c>
      <c r="N44" s="3">
        <f>COUNTIF(E44:I44, "&lt;50")</f>
        <v>3</v>
      </c>
    </row>
    <row r="45" spans="1:14">
      <c r="A45" s="2">
        <v>14</v>
      </c>
      <c r="B45" s="3" t="s">
        <v>40</v>
      </c>
      <c r="C45" s="3" t="s">
        <v>41</v>
      </c>
      <c r="D45" s="2">
        <v>7</v>
      </c>
      <c r="E45" s="2">
        <v>11</v>
      </c>
      <c r="F45" s="2">
        <v>78</v>
      </c>
      <c r="G45" s="2">
        <v>14</v>
      </c>
      <c r="H45" s="2">
        <v>73</v>
      </c>
      <c r="I45" s="2">
        <f>SUM(D45:H45)</f>
        <v>183</v>
      </c>
      <c r="J45" s="2">
        <f>AVERAGE(D45:H45)</f>
        <v>36.6</v>
      </c>
      <c r="K45" s="2" t="str">
        <f>IF(J45&gt;90,"O",IF(J45&gt;80,"A+",IF(J45&gt;70,"A",IF(J45&gt;60,"B+",IF(J45&gt;=50,"B","RA")))))</f>
        <v>RA</v>
      </c>
      <c r="L45" s="2" t="e">
        <f>RANK(D45,$D$2:$D$26)</f>
        <v>#N/A</v>
      </c>
      <c r="M45" s="3">
        <f>COUNTIF(D45:H45, "&gt;=50")</f>
        <v>2</v>
      </c>
      <c r="N45" s="3">
        <f>COUNTIF(E45:I45, "&lt;50")</f>
        <v>2</v>
      </c>
    </row>
    <row r="46" spans="1:14">
      <c r="A46" s="2">
        <v>15</v>
      </c>
      <c r="B46" s="3" t="s">
        <v>42</v>
      </c>
      <c r="C46" s="3" t="s">
        <v>43</v>
      </c>
      <c r="D46" s="2">
        <v>8</v>
      </c>
      <c r="E46" s="2">
        <v>77</v>
      </c>
      <c r="F46" s="2">
        <v>60</v>
      </c>
      <c r="G46" s="2">
        <v>25</v>
      </c>
      <c r="H46" s="2">
        <v>1</v>
      </c>
      <c r="I46" s="2">
        <f>SUM(D46:H46)</f>
        <v>171</v>
      </c>
      <c r="J46" s="2">
        <f>AVERAGE(D46:H46)</f>
        <v>34.200000000000003</v>
      </c>
      <c r="K46" s="2" t="str">
        <f>IF(J46&gt;90,"O",IF(J46&gt;80,"A+",IF(J46&gt;70,"A",IF(J46&gt;60,"B+",IF(J46&gt;=50,"B","RA")))))</f>
        <v>RA</v>
      </c>
      <c r="L46" s="2" t="e">
        <f>RANK(D46,$D$2:$D$26)</f>
        <v>#N/A</v>
      </c>
      <c r="M46" s="3">
        <f>COUNTIF(D46:H46, "&gt;=50")</f>
        <v>2</v>
      </c>
      <c r="N46" s="3">
        <f>COUNTIF(E46:I46, "&lt;50")</f>
        <v>2</v>
      </c>
    </row>
    <row r="47" spans="1:14">
      <c r="A47" s="2">
        <v>16</v>
      </c>
      <c r="B47" s="3" t="s">
        <v>44</v>
      </c>
      <c r="C47" s="3" t="s">
        <v>45</v>
      </c>
      <c r="D47" s="2">
        <v>92</v>
      </c>
      <c r="E47" s="2">
        <v>2</v>
      </c>
      <c r="F47" s="2">
        <v>7</v>
      </c>
      <c r="G47" s="2">
        <v>33</v>
      </c>
      <c r="H47" s="2">
        <v>6</v>
      </c>
      <c r="I47" s="2">
        <f>SUM(D47:H47)</f>
        <v>140</v>
      </c>
      <c r="J47" s="2">
        <f>AVERAGE(D47:H47)</f>
        <v>28</v>
      </c>
      <c r="K47" s="2" t="str">
        <f>IF(J47&gt;90,"O",IF(J47&gt;80,"A+",IF(J47&gt;70,"A",IF(J47&gt;60,"B+",IF(J47&gt;=50,"B","RA")))))</f>
        <v>RA</v>
      </c>
      <c r="L47" s="2">
        <f>RANK(D47,$D$2:$D$26)</f>
        <v>3</v>
      </c>
      <c r="M47" s="3">
        <f>COUNTIF(D47:H47, "&gt;=50")</f>
        <v>1</v>
      </c>
      <c r="N47" s="3">
        <f>COUNTIF(E47:I47, "&lt;50")</f>
        <v>4</v>
      </c>
    </row>
    <row r="48" spans="1:14">
      <c r="A48" s="2">
        <v>17</v>
      </c>
      <c r="B48" s="3" t="s">
        <v>46</v>
      </c>
      <c r="C48" s="3" t="s">
        <v>47</v>
      </c>
      <c r="D48" s="2">
        <v>82</v>
      </c>
      <c r="E48" s="2">
        <v>51</v>
      </c>
      <c r="F48" s="2">
        <v>63</v>
      </c>
      <c r="G48" s="2">
        <v>71</v>
      </c>
      <c r="H48" s="2">
        <v>89</v>
      </c>
      <c r="I48" s="2">
        <f>SUM(D48:H48)</f>
        <v>356</v>
      </c>
      <c r="J48" s="2">
        <f>AVERAGE(D48:H48)</f>
        <v>71.2</v>
      </c>
      <c r="K48" s="2" t="str">
        <f>IF(J48&gt;90,"O",IF(J48&gt;80,"A+",IF(J48&gt;70,"A",IF(J48&gt;60,"B+",IF(J48&gt;=50,"B","RA")))))</f>
        <v>A</v>
      </c>
      <c r="L48" s="2">
        <f>RANK(D48,$D$2:$D$26)</f>
        <v>9</v>
      </c>
      <c r="M48" s="3">
        <f>COUNTIF(D48:H48, "&gt;=50")</f>
        <v>5</v>
      </c>
      <c r="N48" s="3">
        <f>COUNTIF(E48:I48, "&lt;50")</f>
        <v>0</v>
      </c>
    </row>
    <row r="49" spans="1:14">
      <c r="A49" s="2">
        <v>18</v>
      </c>
      <c r="B49" s="3" t="s">
        <v>48</v>
      </c>
      <c r="C49" s="3" t="s">
        <v>49</v>
      </c>
      <c r="D49" s="2">
        <v>98</v>
      </c>
      <c r="E49" s="2">
        <v>44</v>
      </c>
      <c r="F49" s="2">
        <v>14</v>
      </c>
      <c r="G49" s="2">
        <v>66</v>
      </c>
      <c r="H49" s="2">
        <v>59</v>
      </c>
      <c r="I49" s="2">
        <f>SUM(D49:H49)</f>
        <v>281</v>
      </c>
      <c r="J49" s="2">
        <f>AVERAGE(D49:H49)</f>
        <v>56.2</v>
      </c>
      <c r="K49" s="2" t="str">
        <f>IF(J49&gt;90,"O",IF(J49&gt;80,"A+",IF(J49&gt;70,"A",IF(J49&gt;60,"B+",IF(J49&gt;=50,"B","RA")))))</f>
        <v>B</v>
      </c>
      <c r="L49" s="2">
        <f>RANK(D49,$D$2:$D$26)</f>
        <v>2</v>
      </c>
      <c r="M49" s="3">
        <f>COUNTIF(D49:H49, "&gt;=50")</f>
        <v>3</v>
      </c>
      <c r="N49" s="3">
        <f>COUNTIF(E49:I49, "&lt;50")</f>
        <v>2</v>
      </c>
    </row>
    <row r="50" spans="1:14">
      <c r="A50" s="2">
        <v>19</v>
      </c>
      <c r="B50" s="3" t="s">
        <v>50</v>
      </c>
      <c r="C50" s="3" t="s">
        <v>51</v>
      </c>
      <c r="D50" s="2">
        <v>56</v>
      </c>
      <c r="E50" s="2">
        <v>23</v>
      </c>
      <c r="F50" s="2">
        <v>61</v>
      </c>
      <c r="G50" s="2">
        <v>31</v>
      </c>
      <c r="H50" s="2">
        <v>3</v>
      </c>
      <c r="I50" s="2">
        <f>SUM(D50:H50)</f>
        <v>174</v>
      </c>
      <c r="J50" s="2">
        <f>AVERAGE(D50:H50)</f>
        <v>34.799999999999997</v>
      </c>
      <c r="K50" s="2" t="str">
        <f>IF(J50&gt;90,"O",IF(J50&gt;80,"A+",IF(J50&gt;70,"A",IF(J50&gt;60,"B+",IF(J50&gt;=50,"B","RA")))))</f>
        <v>RA</v>
      </c>
      <c r="L50" s="2">
        <f>RANK(D50,$D$2:$D$26)</f>
        <v>16</v>
      </c>
      <c r="M50" s="3">
        <f>COUNTIF(D50:H50, "&gt;=50")</f>
        <v>2</v>
      </c>
      <c r="N50" s="3">
        <f>COUNTIF(E50:I50, "&lt;50")</f>
        <v>3</v>
      </c>
    </row>
    <row r="51" spans="1:14">
      <c r="A51" s="2">
        <v>20</v>
      </c>
      <c r="B51" s="3" t="s">
        <v>52</v>
      </c>
      <c r="C51" s="3" t="s">
        <v>53</v>
      </c>
      <c r="D51" s="2">
        <v>60</v>
      </c>
      <c r="E51" s="2">
        <v>37</v>
      </c>
      <c r="F51" s="2">
        <v>94</v>
      </c>
      <c r="G51" s="2">
        <v>37</v>
      </c>
      <c r="H51" s="2">
        <v>99</v>
      </c>
      <c r="I51" s="2">
        <f>SUM(D51:H51)</f>
        <v>327</v>
      </c>
      <c r="J51" s="2">
        <f>AVERAGE(D51:H51)</f>
        <v>65.400000000000006</v>
      </c>
      <c r="K51" s="2" t="str">
        <f>IF(J51&gt;90,"O",IF(J51&gt;80,"A+",IF(J51&gt;70,"A",IF(J51&gt;60,"B+",IF(J51&gt;=50,"B","RA")))))</f>
        <v>B+</v>
      </c>
      <c r="L51" s="2">
        <f>RANK(D51,$D$2:$D$26)</f>
        <v>14</v>
      </c>
      <c r="M51" s="3">
        <f>COUNTIF(D51:H51, "&gt;=50")</f>
        <v>3</v>
      </c>
      <c r="N51" s="3">
        <f>COUNTIF(E51:I51, "&lt;50")</f>
        <v>2</v>
      </c>
    </row>
    <row r="52" spans="1:14">
      <c r="A52" s="2">
        <v>21</v>
      </c>
      <c r="B52" s="3" t="s">
        <v>54</v>
      </c>
      <c r="C52" s="3" t="s">
        <v>55</v>
      </c>
      <c r="D52" s="2">
        <v>82</v>
      </c>
      <c r="E52" s="2">
        <v>95</v>
      </c>
      <c r="F52" s="2">
        <v>12</v>
      </c>
      <c r="G52" s="2">
        <v>100</v>
      </c>
      <c r="H52" s="2">
        <v>3</v>
      </c>
      <c r="I52" s="2">
        <f>SUM(D52:H52)</f>
        <v>292</v>
      </c>
      <c r="J52" s="2">
        <f>AVERAGE(D52:H52)</f>
        <v>58.4</v>
      </c>
      <c r="K52" s="2" t="str">
        <f>IF(J52&gt;90,"O",IF(J52&gt;80,"A+",IF(J52&gt;70,"A",IF(J52&gt;60,"B+",IF(J52&gt;=50,"B","RA")))))</f>
        <v>B</v>
      </c>
      <c r="L52" s="2">
        <f>RANK(D52,$D$2:$D$26)</f>
        <v>9</v>
      </c>
      <c r="M52" s="3">
        <f>COUNTIF(D52:H52, "&gt;=50")</f>
        <v>3</v>
      </c>
      <c r="N52" s="3">
        <f>COUNTIF(E52:I52, "&lt;50")</f>
        <v>2</v>
      </c>
    </row>
    <row r="53" spans="1:14">
      <c r="A53" s="2">
        <v>22</v>
      </c>
      <c r="B53" s="3" t="s">
        <v>56</v>
      </c>
      <c r="C53" s="3" t="s">
        <v>57</v>
      </c>
      <c r="D53" s="2">
        <v>89</v>
      </c>
      <c r="E53" s="2">
        <v>89</v>
      </c>
      <c r="F53" s="2">
        <v>55</v>
      </c>
      <c r="G53" s="2">
        <v>52</v>
      </c>
      <c r="H53" s="2">
        <v>37</v>
      </c>
      <c r="I53" s="2">
        <f>SUM(D53:H53)</f>
        <v>322</v>
      </c>
      <c r="J53" s="2">
        <f>AVERAGE(D53:H53)</f>
        <v>64.400000000000006</v>
      </c>
      <c r="K53" s="2" t="str">
        <f>IF(J53&gt;90,"O",IF(J53&gt;80,"A+",IF(J53&gt;70,"A",IF(J53&gt;60,"B+",IF(J53&gt;=50,"B","RA")))))</f>
        <v>B+</v>
      </c>
      <c r="L53" s="2">
        <f>RANK(D53,$D$2:$D$26)</f>
        <v>6</v>
      </c>
      <c r="M53" s="3">
        <f>COUNTIF(D53:H53, "&gt;=50")</f>
        <v>4</v>
      </c>
      <c r="N53" s="3">
        <f>COUNTIF(E53:I53, "&lt;50")</f>
        <v>1</v>
      </c>
    </row>
    <row r="54" spans="1:14">
      <c r="A54" s="2">
        <v>23</v>
      </c>
      <c r="B54" s="3" t="s">
        <v>58</v>
      </c>
      <c r="C54" s="3" t="s">
        <v>59</v>
      </c>
      <c r="D54" s="2">
        <v>33</v>
      </c>
      <c r="E54" s="2">
        <v>90</v>
      </c>
      <c r="F54" s="2">
        <v>84</v>
      </c>
      <c r="G54" s="2">
        <v>54</v>
      </c>
      <c r="H54" s="2">
        <v>52</v>
      </c>
      <c r="I54" s="2">
        <f>SUM(D54:H54)</f>
        <v>313</v>
      </c>
      <c r="J54" s="2">
        <f>AVERAGE(D54:H54)</f>
        <v>62.6</v>
      </c>
      <c r="K54" s="2" t="str">
        <f>IF(J54&gt;90,"O",IF(J54&gt;80,"A+",IF(J54&gt;70,"A",IF(J54&gt;60,"B+",IF(J54&gt;=50,"B","RA")))))</f>
        <v>B+</v>
      </c>
      <c r="L54" s="2">
        <f>RANK(D54,$D$2:$D$26)</f>
        <v>20</v>
      </c>
      <c r="M54" s="3">
        <f>COUNTIF(D54:H54, "&gt;=50")</f>
        <v>4</v>
      </c>
      <c r="N54" s="3">
        <f>COUNTIF(E54:I54, "&lt;50")</f>
        <v>0</v>
      </c>
    </row>
    <row r="55" spans="1:14">
      <c r="A55" s="2">
        <v>24</v>
      </c>
      <c r="B55" s="3" t="s">
        <v>60</v>
      </c>
      <c r="C55" s="3" t="s">
        <v>61</v>
      </c>
      <c r="D55" s="2">
        <v>81</v>
      </c>
      <c r="E55" s="2">
        <v>70</v>
      </c>
      <c r="F55" s="2">
        <v>75</v>
      </c>
      <c r="G55" s="2">
        <v>98</v>
      </c>
      <c r="H55" s="2">
        <v>65</v>
      </c>
      <c r="I55" s="2">
        <f>SUM(D55:H55)</f>
        <v>389</v>
      </c>
      <c r="J55" s="2">
        <f>AVERAGE(D55:H55)</f>
        <v>77.8</v>
      </c>
      <c r="K55" s="2" t="str">
        <f>IF(J55&gt;90,"O",IF(J55&gt;80,"A+",IF(J55&gt;70,"A",IF(J55&gt;60,"B+",IF(J55&gt;=50,"B","RA")))))</f>
        <v>A</v>
      </c>
      <c r="L55" s="2">
        <f>RANK(D55,$D$2:$D$26)</f>
        <v>11</v>
      </c>
      <c r="M55" s="3">
        <f>COUNTIF(D55:H55, "&gt;=50")</f>
        <v>5</v>
      </c>
      <c r="N55" s="3">
        <f>COUNTIF(E55:I55, "&lt;50")</f>
        <v>0</v>
      </c>
    </row>
    <row r="56" spans="1:14">
      <c r="A56" s="2">
        <v>25</v>
      </c>
      <c r="B56" s="3" t="s">
        <v>62</v>
      </c>
      <c r="C56" s="3" t="s">
        <v>63</v>
      </c>
      <c r="D56" s="2">
        <v>99</v>
      </c>
      <c r="E56" s="2">
        <v>8</v>
      </c>
      <c r="F56" s="2">
        <v>25</v>
      </c>
      <c r="G56" s="2">
        <v>27</v>
      </c>
      <c r="H56" s="2">
        <v>56</v>
      </c>
      <c r="I56" s="2">
        <f>SUM(D56:H56)</f>
        <v>215</v>
      </c>
      <c r="J56" s="2">
        <f>AVERAGE(D56:H56)</f>
        <v>43</v>
      </c>
      <c r="K56" s="2" t="str">
        <f>IF(J56&gt;90,"O",IF(J56&gt;80,"A+",IF(J56&gt;70,"A",IF(J56&gt;60,"B+",IF(J56&gt;=50,"B","RA")))))</f>
        <v>RA</v>
      </c>
      <c r="L56" s="2">
        <f>RANK(D56,$D$2:$D$26)</f>
        <v>1</v>
      </c>
      <c r="M56" s="3">
        <f>COUNTIF(D56:H56, "&gt;=50")</f>
        <v>2</v>
      </c>
      <c r="N56" s="3">
        <f>COUNTIF(E56:I56, "&lt;50")</f>
        <v>3</v>
      </c>
    </row>
  </sheetData>
  <autoFilter ref="M2:M28" xr:uid="{00000000-0009-0000-0000-000002000000}">
    <filterColumn colId="0">
      <filters>
        <filter val="5"/>
      </filters>
    </filterColumn>
  </autoFilter>
  <sortState xmlns:xlrd2="http://schemas.microsoft.com/office/spreadsheetml/2017/richdata2" ref="A32:N56">
    <sortCondition ref="C32"/>
  </sortState>
  <mergeCells count="2">
    <mergeCell ref="A1:N1"/>
    <mergeCell ref="A30:N30"/>
  </mergeCells>
  <conditionalFormatting sqref="D4:H28">
    <cfRule type="cellIs" dxfId="1" priority="2" operator="lessThan">
      <formula>50</formula>
    </cfRule>
  </conditionalFormatting>
  <conditionalFormatting sqref="D32:H56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C6" sqref="C6"/>
    </sheetView>
  </sheetViews>
  <sheetFormatPr defaultRowHeight="15"/>
  <cols>
    <col min="1" max="1" width="20.7109375" customWidth="1"/>
    <col min="2" max="2" width="24.5703125" bestFit="1" customWidth="1"/>
  </cols>
  <sheetData>
    <row r="1" spans="1:4" ht="18.75">
      <c r="A1" s="10" t="s">
        <v>72</v>
      </c>
      <c r="B1" s="10"/>
      <c r="C1" s="10"/>
      <c r="D1" s="10"/>
    </row>
    <row r="2" spans="1:4" ht="18.75">
      <c r="A2" s="4" t="s">
        <v>73</v>
      </c>
      <c r="B2" s="5" t="s">
        <v>74</v>
      </c>
      <c r="C2" s="5" t="s">
        <v>75</v>
      </c>
      <c r="D2" s="5" t="s">
        <v>76</v>
      </c>
    </row>
    <row r="3" spans="1:4" ht="18.75">
      <c r="A3" s="5">
        <v>2017</v>
      </c>
      <c r="B3" s="5">
        <v>8</v>
      </c>
      <c r="C3" s="5">
        <v>150</v>
      </c>
      <c r="D3" s="5">
        <v>80</v>
      </c>
    </row>
    <row r="4" spans="1:4" ht="18.75">
      <c r="A4" s="4">
        <v>2018</v>
      </c>
      <c r="B4" s="5">
        <v>54</v>
      </c>
      <c r="C4" s="5">
        <v>77</v>
      </c>
      <c r="D4" s="5">
        <v>54</v>
      </c>
    </row>
    <row r="5" spans="1:4" ht="18.75">
      <c r="A5" s="5">
        <v>2019</v>
      </c>
      <c r="B5" s="5">
        <v>93</v>
      </c>
      <c r="C5" s="5">
        <v>32</v>
      </c>
      <c r="D5" s="5">
        <v>100</v>
      </c>
    </row>
    <row r="6" spans="1:4" ht="18.75">
      <c r="A6" s="4">
        <v>2020</v>
      </c>
      <c r="B6" s="5">
        <v>116</v>
      </c>
      <c r="C6" s="5">
        <v>11</v>
      </c>
      <c r="D6" s="5">
        <v>76</v>
      </c>
    </row>
    <row r="7" spans="1:4" ht="18.75">
      <c r="A7" s="5">
        <v>2021</v>
      </c>
      <c r="B7" s="5">
        <v>137</v>
      </c>
      <c r="C7" s="5">
        <v>6</v>
      </c>
      <c r="D7" s="5">
        <v>93</v>
      </c>
    </row>
    <row r="8" spans="1:4" ht="18.75">
      <c r="A8" s="4">
        <v>2022</v>
      </c>
      <c r="B8" s="5">
        <v>184</v>
      </c>
      <c r="C8" s="5">
        <v>1</v>
      </c>
      <c r="D8" s="5">
        <v>72</v>
      </c>
    </row>
    <row r="10" spans="1:4" ht="18.75">
      <c r="A10" s="4"/>
    </row>
    <row r="11" spans="1:4" ht="18.75">
      <c r="A11" s="6" t="s">
        <v>77</v>
      </c>
      <c r="B11" s="7" t="s">
        <v>78</v>
      </c>
    </row>
    <row r="12" spans="1:4" ht="18.75">
      <c r="A12" s="7">
        <v>42763</v>
      </c>
      <c r="B12" s="7">
        <v>19455</v>
      </c>
    </row>
    <row r="13" spans="1:4" ht="18.75">
      <c r="A13" s="6">
        <v>195387</v>
      </c>
      <c r="B13" s="7">
        <v>93965</v>
      </c>
    </row>
    <row r="14" spans="1:4" ht="18.75">
      <c r="A14" s="7">
        <v>35672</v>
      </c>
      <c r="B14" s="7">
        <v>20858</v>
      </c>
    </row>
    <row r="15" spans="1:4" ht="18.75">
      <c r="A15" s="6">
        <v>217637</v>
      </c>
      <c r="B15" s="7">
        <v>107164</v>
      </c>
    </row>
    <row r="16" spans="1:4" ht="18.75">
      <c r="A16" s="6">
        <v>74734</v>
      </c>
      <c r="B16" s="7">
        <v>34036</v>
      </c>
    </row>
    <row r="17" spans="1:1" ht="18.75">
      <c r="A17" s="4"/>
    </row>
    <row r="19" spans="1:1" ht="18.75">
      <c r="A19" s="4"/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activeCell="B10" sqref="B10"/>
    </sheetView>
  </sheetViews>
  <sheetFormatPr defaultRowHeight="15"/>
  <cols>
    <col min="1" max="1" width="24.85546875" style="8" bestFit="1" customWidth="1"/>
    <col min="2" max="2" width="8.140625" style="8" bestFit="1" customWidth="1"/>
    <col min="3" max="3" width="11.140625" style="8" bestFit="1" customWidth="1"/>
    <col min="4" max="16384" width="9.140625" style="8"/>
  </cols>
  <sheetData>
    <row r="1" spans="1:3" ht="18.75">
      <c r="A1" s="11" t="s">
        <v>79</v>
      </c>
      <c r="B1" s="11"/>
      <c r="C1" s="11"/>
    </row>
    <row r="2" spans="1:3">
      <c r="B2" s="8" t="s">
        <v>80</v>
      </c>
      <c r="C2" s="8" t="s">
        <v>81</v>
      </c>
    </row>
    <row r="3" spans="1:3" ht="18.75">
      <c r="A3" s="6" t="s">
        <v>82</v>
      </c>
      <c r="B3" s="8">
        <v>112</v>
      </c>
      <c r="C3" s="8" t="str">
        <f>DEC2BIN(B3)</f>
        <v>1110000</v>
      </c>
    </row>
    <row r="4" spans="1:3">
      <c r="B4" s="8" t="s">
        <v>83</v>
      </c>
      <c r="C4" s="8" t="s">
        <v>84</v>
      </c>
    </row>
    <row r="5" spans="1:3" ht="18.75">
      <c r="A5" s="6" t="s">
        <v>85</v>
      </c>
      <c r="B5" s="8">
        <v>100</v>
      </c>
      <c r="C5" s="8">
        <f>CONVERT(B5, "in", "cm")</f>
        <v>254</v>
      </c>
    </row>
    <row r="6" spans="1:3">
      <c r="B6" s="8" t="s">
        <v>86</v>
      </c>
      <c r="C6" s="8" t="s">
        <v>87</v>
      </c>
    </row>
    <row r="7" spans="1:3" ht="18.75">
      <c r="A7" s="6" t="s">
        <v>88</v>
      </c>
      <c r="B7" s="8">
        <v>5</v>
      </c>
      <c r="C7" s="8">
        <f>CONVERT(B7, "hr", "mn")</f>
        <v>300</v>
      </c>
    </row>
    <row r="8" spans="1:3">
      <c r="B8" s="8" t="s">
        <v>89</v>
      </c>
      <c r="C8" s="8" t="s">
        <v>90</v>
      </c>
    </row>
    <row r="9" spans="1:3" ht="18.75">
      <c r="A9" s="6" t="s">
        <v>91</v>
      </c>
      <c r="B9" s="8">
        <v>100</v>
      </c>
      <c r="C9" s="8">
        <f>CONVERT(B9, "C", "F")</f>
        <v>212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efa42d3-40e1-4330-9312-644971acbb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728AC2BF13B478515B46380F216C1" ma:contentTypeVersion="11" ma:contentTypeDescription="Create a new document." ma:contentTypeScope="" ma:versionID="deef7fc79a5f7ae7cff8172bbcde2ca1">
  <xsd:schema xmlns:xsd="http://www.w3.org/2001/XMLSchema" xmlns:xs="http://www.w3.org/2001/XMLSchema" xmlns:p="http://schemas.microsoft.com/office/2006/metadata/properties" xmlns:ns2="befa42d3-40e1-4330-9312-644971acbb51" targetNamespace="http://schemas.microsoft.com/office/2006/metadata/properties" ma:root="true" ma:fieldsID="04b90af513d5c21e73f469f72324e4a8" ns2:_="">
    <xsd:import namespace="befa42d3-40e1-4330-9312-644971acbb5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a42d3-40e1-4330-9312-644971acbb5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13147E-21A8-4754-BF29-48C53D74906D}"/>
</file>

<file path=customXml/itemProps2.xml><?xml version="1.0" encoding="utf-8"?>
<ds:datastoreItem xmlns:ds="http://schemas.openxmlformats.org/officeDocument/2006/customXml" ds:itemID="{5081E212-C921-46FF-8B2B-381BDD301C57}"/>
</file>

<file path=customXml/itemProps3.xml><?xml version="1.0" encoding="utf-8"?>
<ds:datastoreItem xmlns:ds="http://schemas.openxmlformats.org/officeDocument/2006/customXml" ds:itemID="{150E90AB-E8D5-46F0-8D6A-18C396BFA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</dc:creator>
  <cp:keywords/>
  <dc:description/>
  <cp:lastModifiedBy>RAJASHREE.T</cp:lastModifiedBy>
  <cp:revision/>
  <dcterms:created xsi:type="dcterms:W3CDTF">2020-12-04T03:36:48Z</dcterms:created>
  <dcterms:modified xsi:type="dcterms:W3CDTF">2020-12-04T07:53:46Z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0x010100D8E728AC2BF13B478515B46380F216C1</vt:lpwstr>
  </property>
</Properties>
</file>